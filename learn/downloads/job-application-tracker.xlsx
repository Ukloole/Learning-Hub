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Applications" sheetId="2" state="visible" r:id="rId4"/>
    <sheet name="📅 Follow-Ups" sheetId="3" state="visible" r:id="rId5"/>
    <sheet name="🎯 Interviews" sheetId="4" state="visible" r:id="rId6"/>
    <sheet name="💡 Insights" sheetId="5" state="visible" r:id="rId7"/>
    <sheet name="📖 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<sst xmlns="http://schemas.openxmlformats.org/spreadsheetml/2006/main" count="273" uniqueCount="197">
  <si>
    <t xml:space="preserve">JOB SEARCH TRACKER</t>
  </si>
  <si>
    <t xml:space="preserve">Track every application · Stay organized · Land your next role</t>
  </si>
  <si>
    <t xml:space="preserve">OVERVIEW</t>
  </si>
  <si>
    <t xml:space="preserve">Total Applied</t>
  </si>
  <si>
    <t xml:space="preserve">Interviewing</t>
  </si>
  <si>
    <t xml:space="preserve">Offers</t>
  </si>
  <si>
    <t xml:space="preserve">Rejected</t>
  </si>
  <si>
    <t xml:space="preserve">Ghosted</t>
  </si>
  <si>
    <t xml:space="preserve">Active</t>
  </si>
  <si>
    <t xml:space="preserve">APPLICATION PIPELINE</t>
  </si>
  <si>
    <t xml:space="preserve">Applied</t>
  </si>
  <si>
    <t xml:space="preserve">Offer</t>
  </si>
  <si>
    <t xml:space="preserve">HOW TO USE THIS TRACKER</t>
  </si>
  <si>
    <t xml:space="preserve">📋 Applications</t>
  </si>
  <si>
    <t xml:space="preserve">Log every job you apply to — company, role, date, status, and notes.</t>
  </si>
  <si>
    <t xml:space="preserve">📅 Follow-Ups</t>
  </si>
  <si>
    <t xml:space="preserve">Track which applications need a follow-up email and when.</t>
  </si>
  <si>
    <t xml:space="preserve">🎯 Interviews</t>
  </si>
  <si>
    <t xml:space="preserve">Record interview stages, outcomes, and lessons learned.</t>
  </si>
  <si>
    <t xml:space="preserve">💡 Insights</t>
  </si>
  <si>
    <t xml:space="preserve">Reflect weekly on what's working and what to improve.</t>
  </si>
  <si>
    <t xml:space="preserve">Navigate using the sheet tabs below  ·  Dashboard auto-updates as you log applications</t>
  </si>
  <si>
    <t xml:space="preserve">APPLICATION TRACKER</t>
  </si>
  <si>
    <t xml:space="preserve">COMPANY NAME</t>
  </si>
  <si>
    <t xml:space="preserve">ROLE / POSITION</t>
  </si>
  <si>
    <t xml:space="preserve">JOB TYPE</t>
  </si>
  <si>
    <t xml:space="preserve">LOCATION</t>
  </si>
  <si>
    <t xml:space="preserve">DATE APPLIED</t>
  </si>
  <si>
    <t xml:space="preserve">STATUS</t>
  </si>
  <si>
    <t xml:space="preserve">CONTACT / RECRUITER</t>
  </si>
  <si>
    <t xml:space="preserve">FOLLOW-UP DATE</t>
  </si>
  <si>
    <t xml:space="preserve">SALARY RANGE</t>
  </si>
  <si>
    <t xml:space="preserve">SOURCE</t>
  </si>
  <si>
    <t xml:space="preserve">NOTES</t>
  </si>
  <si>
    <t xml:space="preserve">Stripe</t>
  </si>
  <si>
    <t xml:space="preserve">Product Designer</t>
  </si>
  <si>
    <t xml:space="preserve">Full-time</t>
  </si>
  <si>
    <t xml:space="preserve">Remote, US</t>
  </si>
  <si>
    <t xml:space="preserve">2026-04-14</t>
  </si>
  <si>
    <t xml:space="preserve">Jess L.</t>
  </si>
  <si>
    <t xml:space="preserve">2026-05-08</t>
  </si>
  <si>
    <t xml:space="preserve">$130,000–$155,000</t>
  </si>
  <si>
    <t xml:space="preserve">LinkedIn</t>
  </si>
  <si>
    <t xml:space="preserve">2nd round scheduled</t>
  </si>
  <si>
    <t xml:space="preserve">Notion</t>
  </si>
  <si>
    <t xml:space="preserve">UX Researcher</t>
  </si>
  <si>
    <t xml:space="preserve">San Francisco</t>
  </si>
  <si>
    <t xml:space="preserve">2026-04-18</t>
  </si>
  <si>
    <t xml:space="preserve">Maya R.</t>
  </si>
  <si>
    <t xml:space="preserve">2026-05-10</t>
  </si>
  <si>
    <t xml:space="preserve">$140,000–$160,000</t>
  </si>
  <si>
    <t xml:space="preserve">Referral</t>
  </si>
  <si>
    <t xml:space="preserve">Offer deadline May 10</t>
  </si>
  <si>
    <t xml:space="preserve">Linear</t>
  </si>
  <si>
    <t xml:space="preserve">Product Manager</t>
  </si>
  <si>
    <t xml:space="preserve">Remote</t>
  </si>
  <si>
    <t xml:space="preserve">2026-04-22</t>
  </si>
  <si>
    <t xml:space="preserve">2026-05-06</t>
  </si>
  <si>
    <t xml:space="preserve">Website</t>
  </si>
  <si>
    <t xml:space="preserve">No response yet</t>
  </si>
  <si>
    <t xml:space="preserve">Figma</t>
  </si>
  <si>
    <t xml:space="preserve">Design Systems</t>
  </si>
  <si>
    <t xml:space="preserve">New York, NY</t>
  </si>
  <si>
    <t xml:space="preserve">2026-04-10</t>
  </si>
  <si>
    <t xml:space="preserve">Tom K.</t>
  </si>
  <si>
    <t xml:space="preserve">$125,000–$145,000</t>
  </si>
  <si>
    <t xml:space="preserve">Reapply in 6 months</t>
  </si>
  <si>
    <t xml:space="preserve">Vercel</t>
  </si>
  <si>
    <t xml:space="preserve">Growth Analyst</t>
  </si>
  <si>
    <t xml:space="preserve">2026-04-28</t>
  </si>
  <si>
    <t xml:space="preserve">2026-05-05</t>
  </si>
  <si>
    <t xml:space="preserve">Send follow-up email</t>
  </si>
  <si>
    <t xml:space="preserve">Loom</t>
  </si>
  <si>
    <t xml:space="preserve">Brand Designer</t>
  </si>
  <si>
    <t xml:space="preserve">Contract</t>
  </si>
  <si>
    <t xml:space="preserve">2026-04-30</t>
  </si>
  <si>
    <t xml:space="preserve">Dana C.</t>
  </si>
  <si>
    <t xml:space="preserve">2026-05-07</t>
  </si>
  <si>
    <t xml:space="preserve">$90,000–$110,000</t>
  </si>
  <si>
    <t xml:space="preserve">Portfolio requested</t>
  </si>
  <si>
    <t xml:space="preserve">FOLLOW-UP TRACKER</t>
  </si>
  <si>
    <t xml:space="preserve">COMPANY</t>
  </si>
  <si>
    <t xml:space="preserve">ROLE</t>
  </si>
  <si>
    <t xml:space="preserve">DAYS SINCE APPLIED</t>
  </si>
  <si>
    <t xml:space="preserve">CONTACT</t>
  </si>
  <si>
    <t xml:space="preserve">ACTION REQUIRED</t>
  </si>
  <si>
    <t xml:space="preserve">DONE?</t>
  </si>
  <si>
    <t xml:space="preserve">Send follow-up email to recruiter</t>
  </si>
  <si>
    <t xml:space="preserve">Confirm 2nd round interview details</t>
  </si>
  <si>
    <t xml:space="preserve">Accept or decline offer by EOD</t>
  </si>
  <si>
    <t xml:space="preserve">Check application portal for update</t>
  </si>
  <si>
    <t xml:space="preserve">Portfolio submitted</t>
  </si>
  <si>
    <t xml:space="preserve">✓</t>
  </si>
  <si>
    <t xml:space="preserve">INTERVIEW TRACKER</t>
  </si>
  <si>
    <t xml:space="preserve">INTERVIEW STAGE</t>
  </si>
  <si>
    <t xml:space="preserve">INTERVIEW DATE</t>
  </si>
  <si>
    <t xml:space="preserve">INTERVIEWER(S)</t>
  </si>
  <si>
    <t xml:space="preserve">FORMAT</t>
  </si>
  <si>
    <t xml:space="preserve">OUTCOME</t>
  </si>
  <si>
    <t xml:space="preserve">SALARY DISCUSSED</t>
  </si>
  <si>
    <t xml:space="preserve">KEY NOTES / LESSONS LEARNED</t>
  </si>
  <si>
    <t xml:space="preserve">Technical Screen</t>
  </si>
  <si>
    <t xml:space="preserve">2026-04-29</t>
  </si>
  <si>
    <t xml:space="preserve">Jess L., Tom K.</t>
  </si>
  <si>
    <t xml:space="preserve">Video call</t>
  </si>
  <si>
    <t xml:space="preserve">Passed</t>
  </si>
  <si>
    <t xml:space="preserve">—</t>
  </si>
  <si>
    <t xml:space="preserve">Strong on systems. Work on case study pacing.</t>
  </si>
  <si>
    <t xml:space="preserve">Portfolio Review</t>
  </si>
  <si>
    <t xml:space="preserve">Needed more end-to-end project examples in portfolio.</t>
  </si>
  <si>
    <t xml:space="preserve">Final (Round 3)</t>
  </si>
  <si>
    <t xml:space="preserve">Maya R., 3 others</t>
  </si>
  <si>
    <t xml:space="preserve">Panel</t>
  </si>
  <si>
    <t xml:space="preserve">$140k–$160k</t>
  </si>
  <si>
    <t xml:space="preserve">Referral helped. Cultural fit came through clearly.</t>
  </si>
  <si>
    <t xml:space="preserve">Intro Call</t>
  </si>
  <si>
    <t xml:space="preserve">2026-05-02</t>
  </si>
  <si>
    <t xml:space="preserve">Phone</t>
  </si>
  <si>
    <t xml:space="preserve">Pending</t>
  </si>
  <si>
    <t xml:space="preserve">Good rapport. Waiting on portfolio feedback.</t>
  </si>
  <si>
    <t xml:space="preserve">2nd Round (Live)</t>
  </si>
  <si>
    <t xml:space="preserve">2026-05-09</t>
  </si>
  <si>
    <t xml:space="preserve">Design team</t>
  </si>
  <si>
    <t xml:space="preserve">In-person</t>
  </si>
  <si>
    <t xml:space="preserve">Scheduled</t>
  </si>
  <si>
    <t xml:space="preserve">Prepare design critique + 3 case studies.</t>
  </si>
  <si>
    <t xml:space="preserve">INSIGHTS &amp; REFLECTION</t>
  </si>
  <si>
    <t xml:space="preserve">✅  WHAT'S WORKING</t>
  </si>
  <si>
    <t xml:space="preserve">❌  REJECTION PATTERNS</t>
  </si>
  <si>
    <t xml:space="preserve">Referrals</t>
  </si>
  <si>
    <t xml:space="preserve">Converting 3x better than cold applications</t>
  </si>
  <si>
    <t xml:space="preserve">Case study pacing</t>
  </si>
  <si>
    <t xml:space="preserve">Too slow under timed conditions</t>
  </si>
  <si>
    <t xml:space="preserve">Design systems roles</t>
  </si>
  <si>
    <t xml:space="preserve">Strong alignment with experience and portfolio</t>
  </si>
  <si>
    <t xml:space="preserve">Portfolio gaps</t>
  </si>
  <si>
    <t xml:space="preserve">Missing end-to-end project examples</t>
  </si>
  <si>
    <t xml:space="preserve">Remote-first companies</t>
  </si>
  <si>
    <t xml:space="preserve">Faster response rate overall</t>
  </si>
  <si>
    <t xml:space="preserve">Seniority mismatch</t>
  </si>
  <si>
    <t xml:space="preserve">Overqualified for some junior listings</t>
  </si>
  <si>
    <t xml:space="preserve">Tailored cover letters</t>
  </si>
  <si>
    <t xml:space="preserve">Getting callbacks on senior roles</t>
  </si>
  <si>
    <t xml:space="preserve">Late follow-ups</t>
  </si>
  <si>
    <t xml:space="preserve">Missed window on 2 applications</t>
  </si>
  <si>
    <t xml:space="preserve">🔧  IMPROVEMENTS TO MAKE</t>
  </si>
  <si>
    <t xml:space="preserve">🎯  WEEKLY GOALS</t>
  </si>
  <si>
    <t xml:space="preserve">Add 2 case studies</t>
  </si>
  <si>
    <t xml:space="preserve">Full end-to-end with research → outcome</t>
  </si>
  <si>
    <t xml:space="preserve">Applications target</t>
  </si>
  <si>
    <t xml:space="preserve">8 applications per week</t>
  </si>
  <si>
    <t xml:space="preserve">Timed practice</t>
  </si>
  <si>
    <t xml:space="preserve">Practice design critiques under 20-min limit</t>
  </si>
  <si>
    <t xml:space="preserve">Referral outreach</t>
  </si>
  <si>
    <t xml:space="preserve">3 new contacts per week</t>
  </si>
  <si>
    <t xml:space="preserve">Expand referrals</t>
  </si>
  <si>
    <t xml:space="preserve">Target 3 new referral contacts per week</t>
  </si>
  <si>
    <t xml:space="preserve">Interview prep</t>
  </si>
  <si>
    <t xml:space="preserve">2 practice sessions per week</t>
  </si>
  <si>
    <t xml:space="preserve">Follow-up discipline</t>
  </si>
  <si>
    <t xml:space="preserve">Always follow up within 5 business days</t>
  </si>
  <si>
    <t xml:space="preserve">Portfolio update</t>
  </si>
  <si>
    <t xml:space="preserve">1 new case study per month</t>
  </si>
  <si>
    <t xml:space="preserve">WEEKLY REFLECTION</t>
  </si>
  <si>
    <t xml:space="preserve">What went well this week?</t>
  </si>
  <si>
    <t xml:space="preserve">What would I do differently?</t>
  </si>
  <si>
    <t xml:space="preserve">Most valuable lesson learned:</t>
  </si>
  <si>
    <t xml:space="preserve">My energy / motivation level (1–10):</t>
  </si>
  <si>
    <t xml:space="preserve">Top priority for next week:</t>
  </si>
  <si>
    <t xml:space="preserve">HOW TO USE YOUR JOB TRACKER</t>
  </si>
  <si>
    <t xml:space="preserve">GETTING STARTED</t>
  </si>
  <si>
    <t xml:space="preserve">Step 1</t>
  </si>
  <si>
    <t xml:space="preserve">Open the 📋 Applications sheet and start logging each job you apply to.</t>
  </si>
  <si>
    <t xml:space="preserve">Step 2</t>
  </si>
  <si>
    <t xml:space="preserve">Use the dropdown menus in the Status, Job Type, and Source columns to keep data consistent.</t>
  </si>
  <si>
    <t xml:space="preserve">Step 3</t>
  </si>
  <si>
    <t xml:space="preserve">The 📊 Dashboard updates automatically as you add entries — no manual editing needed.</t>
  </si>
  <si>
    <t xml:space="preserve">STATUS GUIDE</t>
  </si>
  <si>
    <t xml:space="preserve">You've submitted your application and are waiting to hear back.</t>
  </si>
  <si>
    <t xml:space="preserve">You've been invited to interview (any stage).</t>
  </si>
  <si>
    <t xml:space="preserve">You've received a formal job offer.</t>
  </si>
  <si>
    <t xml:space="preserve">You received a rejection at any stage.</t>
  </si>
  <si>
    <t xml:space="preserve">No response after 2+ weeks with no follow-up result.</t>
  </si>
  <si>
    <t xml:space="preserve">TIPS FOR CONSISTENT USE</t>
  </si>
  <si>
    <t xml:space="preserve">Daily</t>
  </si>
  <si>
    <t xml:space="preserve">Log every application the same day you submit it.</t>
  </si>
  <si>
    <t xml:space="preserve">Weekly</t>
  </si>
  <si>
    <t xml:space="preserve">Review the Follow-Ups sheet and send any outstanding emails.</t>
  </si>
  <si>
    <t xml:space="preserve">Monthly</t>
  </si>
  <si>
    <t xml:space="preserve">Fill in the Insights sheet to track what's working and what to improve.</t>
  </si>
  <si>
    <t xml:space="preserve">CUSTOMIZATION</t>
  </si>
  <si>
    <t xml:space="preserve">Colors</t>
  </si>
  <si>
    <t xml:space="preserve">You can change any cell fill color to match your personal brand.</t>
  </si>
  <si>
    <t xml:space="preserve">Columns</t>
  </si>
  <si>
    <t xml:space="preserve">Add new columns to the Applications sheet as needed (e.g., recruiter LinkedIn).</t>
  </si>
  <si>
    <t xml:space="preserve">Sheets</t>
  </si>
  <si>
    <t xml:space="preserve">Duplicate or delete any sheet — the Dashboard formulas are self-contained.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</si>
</sst>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0&quot; days&quot;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A0B0D0"/>
      <name val="Arial"/>
      <family val="0"/>
      <charset val="1"/>
    </font>
    <font>
      <b val="true"/>
      <sz val="8"/>
      <color rgb="FF888888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4"/>
      <color rgb="FF8A6018"/>
      <name val="Arial"/>
      <family val="0"/>
      <charset val="1"/>
    </font>
    <font>
      <b val="true"/>
      <sz val="24"/>
      <color rgb="FF1E6B3A"/>
      <name val="Arial"/>
      <family val="0"/>
      <charset val="1"/>
    </font>
    <font>
      <b val="true"/>
      <sz val="24"/>
      <color rgb="FF8B2222"/>
      <name val="Arial"/>
      <family val="0"/>
      <charset val="1"/>
    </font>
    <font>
      <b val="true"/>
      <sz val="24"/>
      <color rgb="FF6B6055"/>
      <name val="Arial"/>
      <family val="0"/>
      <charset val="1"/>
    </font>
    <font>
      <b val="true"/>
      <sz val="24"/>
      <color rgb="FF1B2A4A"/>
      <name val="Arial"/>
      <family val="0"/>
      <charset val="1"/>
    </font>
    <font>
      <sz val="8"/>
      <color rgb="FFA0B0D0"/>
      <name val="Arial"/>
      <family val="0"/>
      <charset val="1"/>
    </font>
    <font>
      <sz val="8"/>
      <color rgb="FF8A6018"/>
      <name val="Arial"/>
      <family val="0"/>
      <charset val="1"/>
    </font>
    <font>
      <sz val="8"/>
      <color rgb="FF1E6B3A"/>
      <name val="Arial"/>
      <family val="0"/>
      <charset val="1"/>
    </font>
    <font>
      <sz val="8"/>
      <color rgb="FF8B2222"/>
      <name val="Arial"/>
      <family val="0"/>
      <charset val="1"/>
    </font>
    <font>
      <sz val="8"/>
      <color rgb="FF6B6055"/>
      <name val="Arial"/>
      <family val="0"/>
      <charset val="1"/>
    </font>
    <font>
      <sz val="8"/>
      <color rgb="FF2D4270"/>
      <name val="Arial"/>
      <family val="0"/>
      <charset val="1"/>
    </font>
    <font>
      <b val="true"/>
      <sz val="9"/>
      <color rgb="FF2D4270"/>
      <name val="Arial"/>
      <family val="0"/>
      <charset val="1"/>
    </font>
    <font>
      <b val="true"/>
      <sz val="9"/>
      <color rgb="FF8A6018"/>
      <name val="Arial"/>
      <family val="0"/>
      <charset val="1"/>
    </font>
    <font>
      <b val="true"/>
      <sz val="9"/>
      <color rgb="FF1E6B3A"/>
      <name val="Arial"/>
      <family val="0"/>
      <charset val="1"/>
    </font>
    <font>
      <b val="true"/>
      <sz val="9"/>
      <color rgb="FF8B2222"/>
      <name val="Arial"/>
      <family val="0"/>
      <charset val="1"/>
    </font>
    <font>
      <b val="true"/>
      <sz val="9"/>
      <color rgb="FF6B6055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B8922A"/>
      <name val="Arial"/>
      <family val="0"/>
      <charset val="1"/>
    </font>
    <font>
      <i val="true"/>
      <strike val="true"/>
      <sz val="9"/>
      <color rgb="FFAAAAAA"/>
      <name val="Arial"/>
      <family val="0"/>
      <charset val="1"/>
    </font>
    <font>
      <b val="true"/>
      <sz val="10"/>
      <color rgb="FF1E6B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1A1A1A"/>
      </patternFill>
    </fill>
    <fill>
      <patternFill patternType="solid">
        <fgColor rgb="FF2D4270"/>
        <bgColor rgb="FF1B2A4A"/>
      </patternFill>
    </fill>
    <fill>
      <patternFill patternType="solid">
        <fgColor rgb="FFF5EDD6"/>
        <bgColor rgb="FFEDE9E0"/>
      </patternFill>
    </fill>
    <fill>
      <patternFill patternType="solid">
        <fgColor rgb="FFE4F2EA"/>
        <bgColor rgb="FFE8EDF7"/>
      </patternFill>
    </fill>
    <fill>
      <patternFill patternType="solid">
        <fgColor rgb="FFFCEAEA"/>
        <bgColor rgb="FFF0EDE8"/>
      </patternFill>
    </fill>
    <fill>
      <patternFill patternType="solid">
        <fgColor rgb="FFF0EDE8"/>
        <bgColor rgb="FFEEEEEE"/>
      </patternFill>
    </fill>
    <fill>
      <patternFill patternType="solid">
        <fgColor rgb="FFE8EDF7"/>
        <bgColor rgb="FFEEEEEE"/>
      </patternFill>
    </fill>
    <fill>
      <patternFill patternType="solid">
        <fgColor rgb="FFF7F5F0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B8922A"/>
        <bgColor rgb="FF888888"/>
      </patternFill>
    </fill>
    <fill>
      <patternFill patternType="solid">
        <fgColor rgb="FF8A6018"/>
        <bgColor rgb="FF6B6055"/>
      </patternFill>
    </fill>
    <fill>
      <patternFill patternType="solid">
        <fgColor rgb="FFF5F5F5"/>
        <bgColor rgb="FFF7F5F0"/>
      </patternFill>
    </fill>
    <fill>
      <patternFill patternType="solid">
        <fgColor rgb="FF2A7A4A"/>
        <bgColor rgb="FF1E6B3A"/>
      </patternFill>
    </fill>
    <fill>
      <patternFill patternType="solid">
        <fgColor rgb="FF1E5C35"/>
        <bgColor rgb="FF1E6B3A"/>
      </patternFill>
    </fill>
    <fill>
      <patternFill patternType="solid">
        <fgColor rgb="FFA83232"/>
        <bgColor rgb="FF8B2222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/>
      <right/>
      <top/>
      <bottom style="thin">
        <color rgb="FFE8E8E8"/>
      </bottom>
      <diagonal/>
    </border>
    <border diagonalUp="false" diagonalDown="false">
      <left/>
      <right/>
      <top/>
      <bottom style="thin">
        <color rgb="FFEEEEEE"/>
      </bottom>
      <diagonal/>
    </border>
    <border diagonalUp="false" diagonalDown="false">
      <left style="thin">
        <color rgb="FFB8922A"/>
      </left>
      <right/>
      <top/>
      <bottom style="thin">
        <color rgb="FFEEEEEE"/>
      </bottom>
      <diagonal/>
    </border>
    <border diagonalUp="false" diagonalDown="false">
      <left style="medium">
        <color rgb="FF2A7A4A"/>
      </left>
      <right/>
      <top/>
      <bottom style="thin">
        <color rgb="FFDDDDDD"/>
      </bottom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 style="medium">
        <color rgb="FFA83232"/>
      </left>
      <right/>
      <top/>
      <bottom style="thin">
        <color rgb="FFDDDDDD"/>
      </bottom>
      <diagonal/>
    </border>
    <border diagonalUp="false" diagonalDown="false">
      <left style="medium">
        <color rgb="FFB8922A"/>
      </left>
      <right/>
      <top/>
      <bottom style="thin">
        <color rgb="FFDDDDDD"/>
      </bottom>
      <diagonal/>
    </border>
    <border diagonalUp="false" diagonalDown="false">
      <left style="medium">
        <color rgb="FF1B2A4A"/>
      </left>
      <right/>
      <top/>
      <bottom style="thin">
        <color rgb="FFDDDDDD"/>
      </bottom>
      <diagonal/>
    </border>
    <border diagonalUp="false" diagonalDown="false">
      <left style="medium">
        <color rgb="FF1B2A4A"/>
      </left>
      <right/>
      <top/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9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9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1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2D4270"/>
      </font>
      <fill>
        <patternFill>
          <bgColor rgb="FFE8EDF7"/>
        </patternFill>
      </fill>
    </dxf>
    <dxf>
      <font>
        <b val="1"/>
        <color rgb="FF8A6018"/>
      </font>
      <fill>
        <patternFill>
          <bgColor rgb="FFF5EDD6"/>
        </patternFill>
      </fill>
    </dxf>
    <dxf>
      <font>
        <b val="1"/>
        <color rgb="FF1E6B3A"/>
      </font>
      <fill>
        <patternFill>
          <bgColor rgb="FFE4F2EA"/>
        </patternFill>
      </fill>
    </dxf>
    <dxf>
      <font>
        <b val="1"/>
        <color rgb="FF8B2222"/>
      </font>
      <fill>
        <patternFill>
          <bgColor rgb="FFFCEAEA"/>
        </patternFill>
      </fill>
    </dxf>
    <dxf>
      <font>
        <b val="1"/>
        <color rgb="FF6B6055"/>
      </font>
      <fill>
        <patternFill>
          <bgColor rgb="FFF0ED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1E6B3A"/>
      <rgbColor rgb="FF000080"/>
      <rgbColor rgb="FF8A6018"/>
      <rgbColor rgb="FF800080"/>
      <rgbColor rgb="FF008080"/>
      <rgbColor rgb="FFCCCCCC"/>
      <rgbColor rgb="FF888888"/>
      <rgbColor rgb="FFA0B0D0"/>
      <rgbColor rgb="FF8B2222"/>
      <rgbColor rgb="FFF7F5F0"/>
      <rgbColor rgb="FFE4F2EA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7"/>
      <rgbColor rgb="FFE8E8E8"/>
      <rgbColor rgb="FFF5EDD6"/>
      <rgbColor rgb="FFEEEEEE"/>
      <rgbColor rgb="FFFCEAEA"/>
      <rgbColor rgb="FFF0EDE8"/>
      <rgbColor rgb="FFEDE9E0"/>
      <rgbColor rgb="FF3366FF"/>
      <rgbColor rgb="FF33CCCC"/>
      <rgbColor rgb="FF99CC00"/>
      <rgbColor rgb="FFFFCC00"/>
      <rgbColor rgb="FFB8922A"/>
      <rgbColor rgb="FFFF6600"/>
      <rgbColor rgb="FF6B6055"/>
      <rgbColor rgb="FFAAAAAA"/>
      <rgbColor rgb="FF1E5C35"/>
      <rgbColor rgb="FF2A7A4A"/>
      <rgbColor rgb="FF003300"/>
      <rgbColor rgb="FF1A1A1A"/>
      <rgbColor rgb="FFA83232"/>
      <rgbColor rgb="FF555555"/>
      <rgbColor rgb="FF2D427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1:G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18"/>
    <col collapsed="false" customWidth="true" hidden="false" outlineLevel="0" max="8" min="8" style="0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7.5" hidden="false" customHeight="true" outlineLevel="0" collapsed="false"/>
    <row r="5" customFormat="false" ht="13.5" hidden="false" customHeight="true" outlineLevel="0" collapsed="false">
      <c r="B5" s="3" t="s">
        <v>2</v>
      </c>
      <c r="C5" s="3"/>
      <c r="D5" s="3"/>
      <c r="E5" s="3"/>
      <c r="F5" s="3"/>
      <c r="G5" s="3"/>
    </row>
    <row r="6" customFormat="false" ht="48" hidden="false" customHeight="true" outlineLevel="0" collapsed="false">
      <c r="B6" s="4" t="n">
        <f aca="false">COUNTA('📋 Applications'!A2:A200)</f>
        <v>7</v>
      </c>
      <c r="C6" s="5" t="n">
        <f aca="false">COUNTIF('📋 Applications'!F2:F200,"Interviewing")</f>
        <v>2</v>
      </c>
      <c r="D6" s="6" t="n">
        <f aca="false">COUNTIF('📋 Applications'!F2:F200,"Offer")</f>
        <v>1</v>
      </c>
      <c r="E6" s="7" t="n">
        <f aca="false">COUNTIF('📋 Applications'!F2:F200,"Rejected")</f>
        <v>1</v>
      </c>
      <c r="F6" s="8" t="n">
        <f aca="false">COUNTIF('📋 Applications'!F2:F200,"Ghosted")</f>
        <v>1</v>
      </c>
      <c r="G6" s="9" t="n">
        <f aca="false">COUNTIF('📋 Applications'!F2:F200,"Applied")</f>
        <v>1</v>
      </c>
    </row>
    <row r="7" customFormat="false" ht="27.75" hidden="false" customHeight="true" outlineLevel="0" collapsed="false">
      <c r="B7" s="10" t="s">
        <v>3</v>
      </c>
      <c r="C7" s="11" t="s">
        <v>4</v>
      </c>
      <c r="D7" s="12" t="s">
        <v>5</v>
      </c>
      <c r="E7" s="13" t="s">
        <v>6</v>
      </c>
      <c r="F7" s="14" t="s">
        <v>7</v>
      </c>
      <c r="G7" s="15" t="s">
        <v>8</v>
      </c>
    </row>
    <row r="8" customFormat="false" ht="7.5" hidden="false" customHeight="true" outlineLevel="0" collapsed="false"/>
    <row r="9" customFormat="false" ht="19.5" hidden="false" customHeight="true" outlineLevel="0" collapsed="false">
      <c r="B9" s="3" t="s">
        <v>9</v>
      </c>
      <c r="C9" s="3"/>
      <c r="D9" s="3"/>
      <c r="E9" s="3"/>
      <c r="F9" s="3"/>
      <c r="G9" s="3"/>
    </row>
    <row r="10" customFormat="false" ht="21.75" hidden="false" customHeight="true" outlineLevel="0" collapsed="false">
      <c r="B10" s="16" t="s">
        <v>10</v>
      </c>
      <c r="C10" s="17"/>
      <c r="D10" s="17"/>
      <c r="E10" s="17"/>
      <c r="F10" s="17"/>
      <c r="G10" s="18" t="n">
        <f aca="false">COUNTIF('📋 Applications'!F2:F200,"Applied")</f>
        <v>1</v>
      </c>
    </row>
    <row r="11" customFormat="false" ht="21.75" hidden="false" customHeight="true" outlineLevel="0" collapsed="false">
      <c r="B11" s="19" t="s">
        <v>4</v>
      </c>
      <c r="C11" s="20"/>
      <c r="D11" s="20"/>
      <c r="E11" s="20"/>
      <c r="F11" s="20"/>
      <c r="G11" s="21" t="n">
        <f aca="false">COUNTIF('📋 Applications'!F2:F200,"Interviewing")</f>
        <v>2</v>
      </c>
    </row>
    <row r="12" customFormat="false" ht="21.75" hidden="false" customHeight="true" outlineLevel="0" collapsed="false">
      <c r="B12" s="22" t="s">
        <v>11</v>
      </c>
      <c r="C12" s="23"/>
      <c r="D12" s="23"/>
      <c r="E12" s="23"/>
      <c r="F12" s="23"/>
      <c r="G12" s="24" t="n">
        <f aca="false">COUNTIF('📋 Applications'!F2:F200,"Offer")</f>
        <v>1</v>
      </c>
    </row>
    <row r="13" customFormat="false" ht="21.75" hidden="false" customHeight="true" outlineLevel="0" collapsed="false">
      <c r="B13" s="25" t="s">
        <v>6</v>
      </c>
      <c r="C13" s="26"/>
      <c r="D13" s="26"/>
      <c r="E13" s="26"/>
      <c r="F13" s="26"/>
      <c r="G13" s="27" t="n">
        <f aca="false">COUNTIF('📋 Applications'!F2:F200,"Rejected")</f>
        <v>1</v>
      </c>
    </row>
    <row r="14" customFormat="false" ht="21.75" hidden="false" customHeight="true" outlineLevel="0" collapsed="false">
      <c r="B14" s="28" t="s">
        <v>7</v>
      </c>
      <c r="C14" s="29"/>
      <c r="D14" s="29"/>
      <c r="E14" s="29"/>
      <c r="F14" s="29"/>
      <c r="G14" s="30" t="n">
        <f aca="false">COUNTIF('📋 Applications'!F2:F200,"Ghosted")</f>
        <v>1</v>
      </c>
    </row>
    <row r="15" customFormat="false" ht="19.5" hidden="false" customHeight="true" outlineLevel="0" collapsed="false"/>
    <row r="16" customFormat="false" ht="9.75" hidden="false" customHeight="true" outlineLevel="0" collapsed="false"/>
    <row r="17" customFormat="false" ht="13.5" hidden="false" customHeight="true" outlineLevel="0" collapsed="false">
      <c r="B17" s="3" t="s">
        <v>12</v>
      </c>
      <c r="C17" s="3"/>
      <c r="D17" s="3"/>
      <c r="E17" s="3"/>
      <c r="F17" s="3"/>
      <c r="G17" s="3"/>
    </row>
    <row r="18" customFormat="false" ht="21.75" hidden="false" customHeight="true" outlineLevel="0" collapsed="false">
      <c r="B18" s="31" t="s">
        <v>13</v>
      </c>
      <c r="C18" s="32" t="s">
        <v>14</v>
      </c>
      <c r="D18" s="32"/>
      <c r="E18" s="32"/>
      <c r="F18" s="32"/>
      <c r="G18" s="32"/>
    </row>
    <row r="19" customFormat="false" ht="21.75" hidden="false" customHeight="true" outlineLevel="0" collapsed="false">
      <c r="B19" s="31" t="s">
        <v>15</v>
      </c>
      <c r="C19" s="32" t="s">
        <v>16</v>
      </c>
      <c r="D19" s="32"/>
      <c r="E19" s="32"/>
      <c r="F19" s="32"/>
      <c r="G19" s="32"/>
    </row>
    <row r="20" customFormat="false" ht="21.75" hidden="false" customHeight="true" outlineLevel="0" collapsed="false">
      <c r="B20" s="31" t="s">
        <v>17</v>
      </c>
      <c r="C20" s="32" t="s">
        <v>18</v>
      </c>
      <c r="D20" s="32"/>
      <c r="E20" s="32"/>
      <c r="F20" s="32"/>
      <c r="G20" s="32"/>
    </row>
    <row r="21" customFormat="false" ht="21.75" hidden="false" customHeight="true" outlineLevel="0" collapsed="false">
      <c r="B21" s="31" t="s">
        <v>19</v>
      </c>
      <c r="C21" s="32" t="s">
        <v>20</v>
      </c>
      <c r="D21" s="32"/>
      <c r="E21" s="32"/>
      <c r="F21" s="32"/>
      <c r="G21" s="32"/>
    </row>
    <row r="22" customFormat="false" ht="15.75" hidden="false" customHeight="true" outlineLevel="0" collapsed="false"/>
    <row r="23" customFormat="false" ht="9.75" hidden="false" customHeight="true" outlineLevel="0" collapsed="false"/>
    <row r="24" customFormat="false" ht="18" hidden="false" customHeight="true" outlineLevel="0" collapsed="false">
      <c r="B24" s="33" t="s">
        <v>21</v>
      </c>
      <c r="C24" s="33"/>
      <c r="D24" s="33"/>
      <c r="E24" s="33"/>
      <c r="F24" s="33"/>
      <c r="G24" s="33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</sheetData>
  <mergeCells count="10">
    <mergeCell ref="B2:G2"/>
    <mergeCell ref="B3:G3"/>
    <mergeCell ref="B5:G5"/>
    <mergeCell ref="B9:G9"/>
    <mergeCell ref="B17:G17"/>
    <mergeCell ref="C18:G18"/>
    <mergeCell ref="C19:G19"/>
    <mergeCell ref="C20:G20"/>
    <mergeCell ref="C21:G21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4270"/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2"/>
  </cols>
  <sheetData>
    <row r="1" customFormat="false" ht="31.5" hidden="false" customHeight="true" outlineLevel="0" collapsed="false">
      <c r="A1" s="34" t="s">
        <v>22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customFormat="false" ht="21.75" hidden="false" customHeight="true" outlineLevel="0" collapsed="false">
      <c r="A2" s="35" t="s">
        <v>23</v>
      </c>
      <c r="B2" s="35" t="s">
        <v>24</v>
      </c>
      <c r="C2" s="35" t="s">
        <v>25</v>
      </c>
      <c r="D2" s="35" t="s">
        <v>26</v>
      </c>
      <c r="E2" s="35" t="s">
        <v>27</v>
      </c>
      <c r="F2" s="35" t="s">
        <v>28</v>
      </c>
      <c r="G2" s="35" t="s">
        <v>29</v>
      </c>
      <c r="H2" s="35" t="s">
        <v>30</v>
      </c>
      <c r="I2" s="35" t="s">
        <v>31</v>
      </c>
      <c r="J2" s="35" t="s">
        <v>32</v>
      </c>
      <c r="K2" s="35" t="s">
        <v>33</v>
      </c>
    </row>
    <row r="3" customFormat="false" ht="19.5" hidden="false" customHeight="true" outlineLevel="0" collapsed="false">
      <c r="A3" s="36" t="s">
        <v>34</v>
      </c>
      <c r="B3" s="36" t="s">
        <v>35</v>
      </c>
      <c r="C3" s="36" t="s">
        <v>36</v>
      </c>
      <c r="D3" s="36" t="s">
        <v>37</v>
      </c>
      <c r="E3" s="37" t="s">
        <v>38</v>
      </c>
      <c r="F3" s="38" t="s">
        <v>4</v>
      </c>
      <c r="G3" s="36" t="s">
        <v>39</v>
      </c>
      <c r="H3" s="37" t="s">
        <v>40</v>
      </c>
      <c r="I3" s="36" t="s">
        <v>41</v>
      </c>
      <c r="J3" s="36" t="s">
        <v>42</v>
      </c>
      <c r="K3" s="36" t="s">
        <v>43</v>
      </c>
    </row>
    <row r="4" customFormat="false" ht="19.5" hidden="false" customHeight="true" outlineLevel="0" collapsed="false">
      <c r="A4" s="39" t="s">
        <v>44</v>
      </c>
      <c r="B4" s="39" t="s">
        <v>45</v>
      </c>
      <c r="C4" s="39" t="s">
        <v>36</v>
      </c>
      <c r="D4" s="39" t="s">
        <v>46</v>
      </c>
      <c r="E4" s="40" t="s">
        <v>47</v>
      </c>
      <c r="F4" s="41" t="s">
        <v>11</v>
      </c>
      <c r="G4" s="39" t="s">
        <v>48</v>
      </c>
      <c r="H4" s="40" t="s">
        <v>49</v>
      </c>
      <c r="I4" s="39" t="s">
        <v>50</v>
      </c>
      <c r="J4" s="39" t="s">
        <v>51</v>
      </c>
      <c r="K4" s="39" t="s">
        <v>52</v>
      </c>
    </row>
    <row r="5" customFormat="false" ht="19.5" hidden="false" customHeight="true" outlineLevel="0" collapsed="false">
      <c r="A5" s="36" t="s">
        <v>53</v>
      </c>
      <c r="B5" s="36" t="s">
        <v>54</v>
      </c>
      <c r="C5" s="36" t="s">
        <v>55</v>
      </c>
      <c r="D5" s="36" t="s">
        <v>55</v>
      </c>
      <c r="E5" s="37" t="s">
        <v>56</v>
      </c>
      <c r="F5" s="42" t="s">
        <v>10</v>
      </c>
      <c r="G5" s="36"/>
      <c r="H5" s="37" t="s">
        <v>57</v>
      </c>
      <c r="I5" s="36"/>
      <c r="J5" s="36" t="s">
        <v>58</v>
      </c>
      <c r="K5" s="36" t="s">
        <v>59</v>
      </c>
    </row>
    <row r="6" customFormat="false" ht="19.5" hidden="false" customHeight="true" outlineLevel="0" collapsed="false">
      <c r="A6" s="39" t="s">
        <v>60</v>
      </c>
      <c r="B6" s="39" t="s">
        <v>61</v>
      </c>
      <c r="C6" s="39" t="s">
        <v>36</v>
      </c>
      <c r="D6" s="39" t="s">
        <v>62</v>
      </c>
      <c r="E6" s="40" t="s">
        <v>63</v>
      </c>
      <c r="F6" s="43" t="s">
        <v>6</v>
      </c>
      <c r="G6" s="39" t="s">
        <v>64</v>
      </c>
      <c r="H6" s="39"/>
      <c r="I6" s="39" t="s">
        <v>65</v>
      </c>
      <c r="J6" s="39" t="s">
        <v>42</v>
      </c>
      <c r="K6" s="39" t="s">
        <v>66</v>
      </c>
    </row>
    <row r="7" customFormat="false" ht="19.5" hidden="false" customHeight="true" outlineLevel="0" collapsed="false">
      <c r="A7" s="36" t="s">
        <v>67</v>
      </c>
      <c r="B7" s="36" t="s">
        <v>68</v>
      </c>
      <c r="C7" s="36" t="s">
        <v>55</v>
      </c>
      <c r="D7" s="36" t="s">
        <v>55</v>
      </c>
      <c r="E7" s="37" t="s">
        <v>69</v>
      </c>
      <c r="F7" s="44" t="s">
        <v>7</v>
      </c>
      <c r="G7" s="36"/>
      <c r="H7" s="37" t="s">
        <v>70</v>
      </c>
      <c r="I7" s="36"/>
      <c r="J7" s="36" t="s">
        <v>58</v>
      </c>
      <c r="K7" s="36" t="s">
        <v>71</v>
      </c>
    </row>
    <row r="8" customFormat="false" ht="19.5" hidden="false" customHeight="true" outlineLevel="0" collapsed="false">
      <c r="A8" s="39" t="s">
        <v>72</v>
      </c>
      <c r="B8" s="39" t="s">
        <v>73</v>
      </c>
      <c r="C8" s="39" t="s">
        <v>74</v>
      </c>
      <c r="D8" s="39" t="s">
        <v>55</v>
      </c>
      <c r="E8" s="40" t="s">
        <v>75</v>
      </c>
      <c r="F8" s="38" t="s">
        <v>4</v>
      </c>
      <c r="G8" s="39" t="s">
        <v>76</v>
      </c>
      <c r="H8" s="40" t="s">
        <v>77</v>
      </c>
      <c r="I8" s="39" t="s">
        <v>78</v>
      </c>
      <c r="J8" s="39" t="s">
        <v>51</v>
      </c>
      <c r="K8" s="39" t="s">
        <v>79</v>
      </c>
    </row>
    <row r="9" customFormat="false" ht="19.5" hidden="false" customHeight="true" outlineLevel="0" collapsed="false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</row>
    <row r="10" customFormat="false" ht="19.5" hidden="false" customHeight="true" outlineLevel="0" collapsed="false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</row>
    <row r="11" customFormat="false" ht="19.5" hidden="false" customHeight="true" outlineLevel="0" collapsed="false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 customFormat="false" ht="19.5" hidden="false" customHeight="true" outlineLevel="0" collapsed="false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</row>
    <row r="13" customFormat="false" ht="19.5" hidden="false" customHeight="true" outlineLevel="0" collapsed="false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 customFormat="false" ht="19.5" hidden="false" customHeight="true" outlineLevel="0" collapsed="false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</row>
    <row r="15" customFormat="false" ht="19.5" hidden="false" customHeight="true" outlineLevel="0" collapsed="false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</row>
    <row r="16" customFormat="false" ht="19.5" hidden="false" customHeight="true" outlineLevel="0" collapsed="false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</row>
    <row r="17" customFormat="false" ht="19.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</row>
    <row r="18" customFormat="false" ht="19.5" hidden="false" customHeight="true" outlineLevel="0" collapsed="false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</row>
    <row r="19" customFormat="false" ht="19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0" customFormat="false" ht="19.5" hidden="false" customHeight="true" outlineLevel="0" collapsed="false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</row>
    <row r="21" customFormat="false" ht="19.5" hidden="false" customHeight="true" outlineLevel="0" collapsed="false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</row>
    <row r="22" customFormat="false" ht="19.5" hidden="false" customHeight="true" outlineLevel="0" collapsed="false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</row>
    <row r="23" customFormat="false" ht="19.5" hidden="false" customHeight="true" outlineLevel="0" collapsed="false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customFormat="false" ht="19.5" hidden="false" customHeight="true" outlineLevel="0" collapsed="false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</row>
    <row r="25" customFormat="false" ht="19.5" hidden="false" customHeight="true" outlineLevel="0" collapsed="false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 customFormat="false" ht="19.5" hidden="false" customHeight="true" outlineLevel="0" collapsed="false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</row>
    <row r="27" customFormat="false" ht="19.5" hidden="false" customHeight="true" outlineLevel="0" collapsed="false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</row>
    <row r="28" customFormat="false" ht="19.5" hidden="false" customHeight="true" outlineLevel="0" collapsed="false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</row>
    <row r="29" customFormat="false" ht="19.5" hidden="false" customHeight="true" outlineLevel="0" collapsed="false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</row>
    <row r="30" customFormat="false" ht="19.5" hidden="false" customHeight="true" outlineLevel="0" collapsed="false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</row>
    <row r="31" customFormat="false" ht="19.5" hidden="false" customHeight="true" outlineLevel="0" collapsed="false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customFormat="false" ht="19.5" hidden="false" customHeight="true" outlineLevel="0" collapsed="false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</row>
    <row r="33" customFormat="false" ht="19.5" hidden="false" customHeight="true" outlineLevel="0" collapsed="false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</row>
    <row r="34" customFormat="false" ht="19.5" hidden="false" customHeight="true" outlineLevel="0" collapsed="false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</row>
    <row r="35" customFormat="false" ht="19.5" hidden="false" customHeight="true" outlineLevel="0" collapsed="false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</row>
    <row r="36" customFormat="false" ht="19.5" hidden="false" customHeight="true" outlineLevel="0" collapsed="false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</row>
    <row r="37" customFormat="false" ht="19.5" hidden="false" customHeight="true" outlineLevel="0" collapsed="false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</row>
    <row r="38" customFormat="false" ht="19.5" hidden="false" customHeight="true" outlineLevel="0" collapsed="false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customFormat="false" ht="19.5" hidden="false" customHeight="true" outlineLevel="0" collapsed="false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</row>
    <row r="40" customFormat="false" ht="19.5" hidden="false" customHeight="true" outlineLevel="0" collapsed="false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customFormat="false" ht="19.5" hidden="false" customHeight="true" outlineLevel="0" collapsed="false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</row>
    <row r="42" customFormat="false" ht="19.5" hidden="false" customHeight="true" outlineLevel="0" collapsed="false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customFormat="false" ht="19.5" hidden="false" customHeight="true" outlineLevel="0" collapsed="false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customFormat="false" ht="19.5" hidden="false" customHeight="tru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customFormat="false" ht="19.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</row>
    <row r="46" customFormat="false" ht="19.5" hidden="false" customHeight="true" outlineLevel="0" collapsed="false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customFormat="false" ht="19.5" hidden="false" customHeight="true" outlineLevel="0" collapsed="false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</row>
    <row r="48" customFormat="false" ht="19.5" hidden="false" customHeight="true" outlineLevel="0" collapsed="false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customFormat="false" ht="19.5" hidden="false" customHeight="true" outlineLevel="0" collapsed="false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</row>
    <row r="50" customFormat="false" ht="19.5" hidden="false" customHeight="tru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</sheetData>
  <mergeCells count="1">
    <mergeCell ref="A1:K1"/>
  </mergeCells>
  <conditionalFormatting sqref="F3:F200">
    <cfRule type="containsText" priority="2" operator="containsText" aboveAverage="0" equalAverage="0" bottom="0" percent="0" rank="0" text="Applied" dxfId="0">
      <formula>NOT(ISERROR(SEARCH("Applied",F3)))</formula>
    </cfRule>
    <cfRule type="containsText" priority="3" operator="containsText" aboveAverage="0" equalAverage="0" bottom="0" percent="0" rank="0" text="Interviewing" dxfId="1">
      <formula>NOT(ISERROR(SEARCH("Interviewing",F3)))</formula>
    </cfRule>
    <cfRule type="containsText" priority="4" operator="containsText" aboveAverage="0" equalAverage="0" bottom="0" percent="0" rank="0" text="Offer" dxfId="2">
      <formula>NOT(ISERROR(SEARCH("Offer",F3)))</formula>
    </cfRule>
    <cfRule type="containsText" priority="5" operator="containsText" aboveAverage="0" equalAverage="0" bottom="0" percent="0" rank="0" text="Rejected" dxfId="3">
      <formula>NOT(ISERROR(SEARCH("Rejected",F3)))</formula>
    </cfRule>
    <cfRule type="containsText" priority="6" operator="containsText" aboveAverage="0" equalAverage="0" bottom="0" percent="0" rank="0" text="Ghosted" dxfId="4">
      <formula>NOT(ISERROR(SEARCH("Ghosted",F3)))</formula>
    </cfRule>
  </conditionalFormatting>
  <dataValidations count="3">
    <dataValidation allowBlank="true" error="Please choose: Applied, Interviewing, Offer, Rejected, or Ghosted" errorStyle="stop" errorTitle="Invalid Status" operator="between" showDropDown="false" showErrorMessage="true" showInputMessage="false" sqref="F3:F200" type="list">
      <formula1>"Applied,Interviewing,Offer,Rejected,Ghosted"</formula1>
      <formula2>0</formula2>
    </dataValidation>
    <dataValidation allowBlank="true" errorStyle="stop" operator="between" showDropDown="false" showErrorMessage="false" showInputMessage="false" sqref="C3:C200" type="list">
      <formula1>"Full-time,Part-time,Contract,Internship,Remote,Hybrid,Freelance"</formula1>
      <formula2>0</formula2>
    </dataValidation>
    <dataValidation allowBlank="true" errorStyle="stop" operator="between" showDropDown="false" showErrorMessage="false" showInputMessage="false" sqref="J3:J200" type="list">
      <formula1>"LinkedIn,Referral,Website,Indeed,Glassdoor,AngelList,Cold Outreach,Recruiter,Job Fair,Other"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22A"/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7" min="6" style="0" width="20"/>
    <col collapsed="false" customWidth="true" hidden="false" outlineLevel="0" max="8" min="8" style="0" width="36"/>
    <col collapsed="false" customWidth="true" hidden="false" outlineLevel="0" max="9" min="9" style="0" width="8"/>
  </cols>
  <sheetData>
    <row r="1" customFormat="false" ht="31.5" hidden="false" customHeight="true" outlineLevel="0" collapsed="false">
      <c r="A1" s="47" t="s">
        <v>80</v>
      </c>
      <c r="B1" s="47"/>
      <c r="C1" s="47"/>
      <c r="D1" s="47"/>
      <c r="E1" s="47"/>
      <c r="F1" s="47"/>
      <c r="G1" s="47"/>
      <c r="H1" s="47"/>
      <c r="I1" s="47"/>
    </row>
    <row r="2" customFormat="false" ht="21.75" hidden="false" customHeight="true" outlineLevel="0" collapsed="false">
      <c r="A2" s="48" t="s">
        <v>81</v>
      </c>
      <c r="B2" s="48" t="s">
        <v>82</v>
      </c>
      <c r="C2" s="48" t="s">
        <v>28</v>
      </c>
      <c r="D2" s="48" t="s">
        <v>27</v>
      </c>
      <c r="E2" s="48" t="s">
        <v>30</v>
      </c>
      <c r="F2" s="48" t="s">
        <v>83</v>
      </c>
      <c r="G2" s="48" t="s">
        <v>84</v>
      </c>
      <c r="H2" s="48" t="s">
        <v>85</v>
      </c>
      <c r="I2" s="48" t="s">
        <v>86</v>
      </c>
    </row>
    <row r="3" customFormat="false" ht="21.75" hidden="false" customHeight="true" outlineLevel="0" collapsed="false">
      <c r="A3" s="49" t="s">
        <v>67</v>
      </c>
      <c r="B3" s="50" t="s">
        <v>68</v>
      </c>
      <c r="C3" s="51" t="s">
        <v>7</v>
      </c>
      <c r="D3" s="52" t="s">
        <v>69</v>
      </c>
      <c r="E3" s="52" t="s">
        <v>70</v>
      </c>
      <c r="F3" s="53" t="n">
        <f aca="true">TODAY()-D3</f>
        <v>6</v>
      </c>
      <c r="G3" s="50"/>
      <c r="H3" s="50" t="s">
        <v>87</v>
      </c>
      <c r="I3" s="54"/>
    </row>
    <row r="4" customFormat="false" ht="21.75" hidden="false" customHeight="true" outlineLevel="0" collapsed="false">
      <c r="A4" s="49" t="s">
        <v>34</v>
      </c>
      <c r="B4" s="50" t="s">
        <v>35</v>
      </c>
      <c r="C4" s="55" t="s">
        <v>4</v>
      </c>
      <c r="D4" s="52" t="s">
        <v>38</v>
      </c>
      <c r="E4" s="52" t="s">
        <v>40</v>
      </c>
      <c r="F4" s="53" t="n">
        <f aca="true">TODAY()-D4</f>
        <v>20</v>
      </c>
      <c r="G4" s="50" t="s">
        <v>39</v>
      </c>
      <c r="H4" s="50" t="s">
        <v>88</v>
      </c>
      <c r="I4" s="54"/>
    </row>
    <row r="5" customFormat="false" ht="21.75" hidden="false" customHeight="true" outlineLevel="0" collapsed="false">
      <c r="A5" s="49" t="s">
        <v>44</v>
      </c>
      <c r="B5" s="50" t="s">
        <v>45</v>
      </c>
      <c r="C5" s="56" t="s">
        <v>11</v>
      </c>
      <c r="D5" s="52" t="s">
        <v>47</v>
      </c>
      <c r="E5" s="52" t="s">
        <v>49</v>
      </c>
      <c r="F5" s="53" t="n">
        <f aca="true">TODAY()-D5</f>
        <v>16</v>
      </c>
      <c r="G5" s="50" t="s">
        <v>48</v>
      </c>
      <c r="H5" s="50" t="s">
        <v>89</v>
      </c>
      <c r="I5" s="54"/>
    </row>
    <row r="6" customFormat="false" ht="21.75" hidden="false" customHeight="true" outlineLevel="0" collapsed="false">
      <c r="A6" s="49" t="s">
        <v>53</v>
      </c>
      <c r="B6" s="50" t="s">
        <v>54</v>
      </c>
      <c r="C6" s="57" t="s">
        <v>10</v>
      </c>
      <c r="D6" s="52" t="s">
        <v>56</v>
      </c>
      <c r="E6" s="52" t="s">
        <v>57</v>
      </c>
      <c r="F6" s="53" t="n">
        <f aca="true">TODAY()-D6</f>
        <v>12</v>
      </c>
      <c r="G6" s="50"/>
      <c r="H6" s="50" t="s">
        <v>90</v>
      </c>
      <c r="I6" s="54"/>
    </row>
    <row r="7" customFormat="false" ht="21.75" hidden="false" customHeight="true" outlineLevel="0" collapsed="false">
      <c r="A7" s="58" t="s">
        <v>72</v>
      </c>
      <c r="B7" s="59" t="s">
        <v>73</v>
      </c>
      <c r="C7" s="55" t="s">
        <v>4</v>
      </c>
      <c r="D7" s="60" t="s">
        <v>75</v>
      </c>
      <c r="E7" s="60" t="s">
        <v>77</v>
      </c>
      <c r="F7" s="61" t="n">
        <f aca="true">TODAY()-D7</f>
        <v>4</v>
      </c>
      <c r="G7" s="59" t="s">
        <v>76</v>
      </c>
      <c r="H7" s="59" t="s">
        <v>91</v>
      </c>
      <c r="I7" s="62" t="s">
        <v>92</v>
      </c>
    </row>
    <row r="8" customFormat="false" ht="21.75" hidden="false" customHeight="true" outlineLevel="0" collapsed="false">
      <c r="A8" s="63"/>
      <c r="B8" s="63"/>
      <c r="C8" s="63"/>
      <c r="D8" s="63"/>
      <c r="E8" s="63"/>
      <c r="F8" s="63"/>
      <c r="G8" s="63"/>
      <c r="H8" s="63"/>
      <c r="I8" s="63"/>
    </row>
    <row r="9" customFormat="false" ht="21.75" hidden="false" customHeight="true" outlineLevel="0" collapsed="false">
      <c r="A9" s="64"/>
      <c r="B9" s="64"/>
      <c r="C9" s="64"/>
      <c r="D9" s="64"/>
      <c r="E9" s="64"/>
      <c r="F9" s="64"/>
      <c r="G9" s="64"/>
      <c r="H9" s="64"/>
      <c r="I9" s="64"/>
    </row>
    <row r="10" customFormat="false" ht="21.75" hidden="false" customHeight="true" outlineLevel="0" collapsed="false">
      <c r="A10" s="63"/>
      <c r="B10" s="63"/>
      <c r="C10" s="63"/>
      <c r="D10" s="63"/>
      <c r="E10" s="63"/>
      <c r="F10" s="63"/>
      <c r="G10" s="63"/>
      <c r="H10" s="63"/>
      <c r="I10" s="63"/>
    </row>
    <row r="11" customFormat="false" ht="21.75" hidden="false" customHeight="true" outlineLevel="0" collapsed="false">
      <c r="A11" s="64"/>
      <c r="B11" s="64"/>
      <c r="C11" s="64"/>
      <c r="D11" s="64"/>
      <c r="E11" s="64"/>
      <c r="F11" s="64"/>
      <c r="G11" s="64"/>
      <c r="H11" s="64"/>
      <c r="I11" s="64"/>
    </row>
    <row r="12" customFormat="false" ht="21.75" hidden="false" customHeight="true" outlineLevel="0" collapsed="false">
      <c r="A12" s="63"/>
      <c r="B12" s="63"/>
      <c r="C12" s="63"/>
      <c r="D12" s="63"/>
      <c r="E12" s="63"/>
      <c r="F12" s="63"/>
      <c r="G12" s="63"/>
      <c r="H12" s="63"/>
      <c r="I12" s="63"/>
    </row>
    <row r="13" customFormat="false" ht="21.75" hidden="false" customHeight="true" outlineLevel="0" collapsed="false">
      <c r="A13" s="64"/>
      <c r="B13" s="64"/>
      <c r="C13" s="64"/>
      <c r="D13" s="64"/>
      <c r="E13" s="64"/>
      <c r="F13" s="64"/>
      <c r="G13" s="64"/>
      <c r="H13" s="64"/>
      <c r="I13" s="64"/>
    </row>
    <row r="14" customFormat="false" ht="21.75" hidden="false" customHeight="true" outlineLevel="0" collapsed="false">
      <c r="A14" s="63"/>
      <c r="B14" s="63"/>
      <c r="C14" s="63"/>
      <c r="D14" s="63"/>
      <c r="E14" s="63"/>
      <c r="F14" s="63"/>
      <c r="G14" s="63"/>
      <c r="H14" s="63"/>
      <c r="I14" s="63"/>
    </row>
    <row r="15" customFormat="false" ht="21.75" hidden="false" customHeight="true" outlineLevel="0" collapsed="false">
      <c r="A15" s="64"/>
      <c r="B15" s="64"/>
      <c r="C15" s="64"/>
      <c r="D15" s="64"/>
      <c r="E15" s="64"/>
      <c r="F15" s="64"/>
      <c r="G15" s="64"/>
      <c r="H15" s="64"/>
      <c r="I15" s="64"/>
    </row>
    <row r="16" customFormat="false" ht="21.75" hidden="false" customHeight="true" outlineLevel="0" collapsed="false">
      <c r="A16" s="63"/>
      <c r="B16" s="63"/>
      <c r="C16" s="63"/>
      <c r="D16" s="63"/>
      <c r="E16" s="63"/>
      <c r="F16" s="63"/>
      <c r="G16" s="63"/>
      <c r="H16" s="63"/>
      <c r="I16" s="63"/>
    </row>
    <row r="17" customFormat="false" ht="21.75" hidden="false" customHeight="true" outlineLevel="0" collapsed="false">
      <c r="A17" s="64"/>
      <c r="B17" s="64"/>
      <c r="C17" s="64"/>
      <c r="D17" s="64"/>
      <c r="E17" s="64"/>
      <c r="F17" s="64"/>
      <c r="G17" s="64"/>
      <c r="H17" s="64"/>
      <c r="I17" s="64"/>
    </row>
    <row r="18" customFormat="false" ht="21.75" hidden="false" customHeight="true" outlineLevel="0" collapsed="false">
      <c r="A18" s="63"/>
      <c r="B18" s="63"/>
      <c r="C18" s="63"/>
      <c r="D18" s="63"/>
      <c r="E18" s="63"/>
      <c r="F18" s="63"/>
      <c r="G18" s="63"/>
      <c r="H18" s="63"/>
      <c r="I18" s="63"/>
    </row>
    <row r="19" customFormat="false" ht="21.75" hidden="false" customHeight="true" outlineLevel="0" collapsed="false">
      <c r="A19" s="64"/>
      <c r="B19" s="64"/>
      <c r="C19" s="64"/>
      <c r="D19" s="64"/>
      <c r="E19" s="64"/>
      <c r="F19" s="64"/>
      <c r="G19" s="64"/>
      <c r="H19" s="64"/>
      <c r="I19" s="64"/>
    </row>
    <row r="20" customFormat="false" ht="21.75" hidden="false" customHeight="true" outlineLevel="0" collapsed="false">
      <c r="A20" s="63"/>
      <c r="B20" s="63"/>
      <c r="C20" s="63"/>
      <c r="D20" s="63"/>
      <c r="E20" s="63"/>
      <c r="F20" s="63"/>
      <c r="G20" s="63"/>
      <c r="H20" s="63"/>
      <c r="I20" s="63"/>
    </row>
    <row r="21" customFormat="false" ht="21.75" hidden="false" customHeight="true" outlineLevel="0" collapsed="false">
      <c r="A21" s="64"/>
      <c r="B21" s="64"/>
      <c r="C21" s="64"/>
      <c r="D21" s="64"/>
      <c r="E21" s="64"/>
      <c r="F21" s="64"/>
      <c r="G21" s="64"/>
      <c r="H21" s="64"/>
      <c r="I21" s="64"/>
    </row>
    <row r="22" customFormat="false" ht="21.75" hidden="false" customHeight="true" outlineLevel="0" collapsed="false">
      <c r="A22" s="63"/>
      <c r="B22" s="63"/>
      <c r="C22" s="63"/>
      <c r="D22" s="63"/>
      <c r="E22" s="63"/>
      <c r="F22" s="63"/>
      <c r="G22" s="63"/>
      <c r="H22" s="63"/>
      <c r="I22" s="63"/>
    </row>
    <row r="23" customFormat="false" ht="21.75" hidden="false" customHeight="true" outlineLevel="0" collapsed="false">
      <c r="A23" s="64"/>
      <c r="B23" s="64"/>
      <c r="C23" s="64"/>
      <c r="D23" s="64"/>
      <c r="E23" s="64"/>
      <c r="F23" s="64"/>
      <c r="G23" s="64"/>
      <c r="H23" s="64"/>
      <c r="I23" s="64"/>
    </row>
    <row r="24" customFormat="false" ht="21.75" hidden="false" customHeight="true" outlineLevel="0" collapsed="false">
      <c r="A24" s="63"/>
      <c r="B24" s="63"/>
      <c r="C24" s="63"/>
      <c r="D24" s="63"/>
      <c r="E24" s="63"/>
      <c r="F24" s="63"/>
      <c r="G24" s="63"/>
      <c r="H24" s="63"/>
      <c r="I24" s="63"/>
    </row>
    <row r="25" customFormat="false" ht="21.75" hidden="false" customHeight="true" outlineLevel="0" collapsed="false">
      <c r="A25" s="64"/>
      <c r="B25" s="64"/>
      <c r="C25" s="64"/>
      <c r="D25" s="64"/>
      <c r="E25" s="64"/>
      <c r="F25" s="64"/>
      <c r="G25" s="64"/>
      <c r="H25" s="64"/>
      <c r="I25" s="64"/>
    </row>
    <row r="26" customFormat="false" ht="21.75" hidden="false" customHeight="true" outlineLevel="0" collapsed="false">
      <c r="A26" s="63"/>
      <c r="B26" s="63"/>
      <c r="C26" s="63"/>
      <c r="D26" s="63"/>
      <c r="E26" s="63"/>
      <c r="F26" s="63"/>
      <c r="G26" s="63"/>
      <c r="H26" s="63"/>
      <c r="I26" s="63"/>
    </row>
    <row r="27" customFormat="false" ht="21.75" hidden="false" customHeight="true" outlineLevel="0" collapsed="false">
      <c r="A27" s="64"/>
      <c r="B27" s="64"/>
      <c r="C27" s="64"/>
      <c r="D27" s="64"/>
      <c r="E27" s="64"/>
      <c r="F27" s="64"/>
      <c r="G27" s="64"/>
      <c r="H27" s="64"/>
      <c r="I27" s="64"/>
    </row>
    <row r="28" customFormat="false" ht="21.75" hidden="false" customHeight="true" outlineLevel="0" collapsed="false">
      <c r="A28" s="63"/>
      <c r="B28" s="63"/>
      <c r="C28" s="63"/>
      <c r="D28" s="63"/>
      <c r="E28" s="63"/>
      <c r="F28" s="63"/>
      <c r="G28" s="63"/>
      <c r="H28" s="63"/>
      <c r="I28" s="63"/>
    </row>
    <row r="29" customFormat="false" ht="21.75" hidden="false" customHeight="true" outlineLevel="0" collapsed="false">
      <c r="A29" s="64"/>
      <c r="B29" s="64"/>
      <c r="C29" s="64"/>
      <c r="D29" s="64"/>
      <c r="E29" s="64"/>
      <c r="F29" s="64"/>
      <c r="G29" s="64"/>
      <c r="H29" s="64"/>
      <c r="I29" s="64"/>
    </row>
    <row r="30" customFormat="false" ht="21.75" hidden="false" customHeight="true" outlineLevel="0" collapsed="false">
      <c r="A30" s="63"/>
      <c r="B30" s="63"/>
      <c r="C30" s="63"/>
      <c r="D30" s="63"/>
      <c r="E30" s="63"/>
      <c r="F30" s="63"/>
      <c r="G30" s="63"/>
      <c r="H30" s="63"/>
      <c r="I30" s="63"/>
    </row>
    <row r="31" customFormat="false" ht="21.75" hidden="false" customHeight="true" outlineLevel="0" collapsed="false">
      <c r="A31" s="64"/>
      <c r="B31" s="64"/>
      <c r="C31" s="64"/>
      <c r="D31" s="64"/>
      <c r="E31" s="64"/>
      <c r="F31" s="64"/>
      <c r="G31" s="64"/>
      <c r="H31" s="64"/>
      <c r="I31" s="64"/>
    </row>
    <row r="32" customFormat="false" ht="21.75" hidden="false" customHeight="true" outlineLevel="0" collapsed="false">
      <c r="A32" s="63"/>
      <c r="B32" s="63"/>
      <c r="C32" s="63"/>
      <c r="D32" s="63"/>
      <c r="E32" s="63"/>
      <c r="F32" s="63"/>
      <c r="G32" s="63"/>
      <c r="H32" s="63"/>
      <c r="I32" s="63"/>
    </row>
    <row r="33" customFormat="false" ht="21.75" hidden="false" customHeight="true" outlineLevel="0" collapsed="false">
      <c r="A33" s="64"/>
      <c r="B33" s="64"/>
      <c r="C33" s="64"/>
      <c r="D33" s="64"/>
      <c r="E33" s="64"/>
      <c r="F33" s="64"/>
      <c r="G33" s="64"/>
      <c r="H33" s="64"/>
      <c r="I33" s="64"/>
    </row>
    <row r="34" customFormat="false" ht="21.75" hidden="false" customHeight="true" outlineLevel="0" collapsed="false">
      <c r="A34" s="63"/>
      <c r="B34" s="63"/>
      <c r="C34" s="63"/>
      <c r="D34" s="63"/>
      <c r="E34" s="63"/>
      <c r="F34" s="63"/>
      <c r="G34" s="63"/>
      <c r="H34" s="63"/>
      <c r="I34" s="63"/>
    </row>
    <row r="35" customFormat="false" ht="21.75" hidden="false" customHeight="true" outlineLevel="0" collapsed="false">
      <c r="A35" s="64"/>
      <c r="B35" s="64"/>
      <c r="C35" s="64"/>
      <c r="D35" s="64"/>
      <c r="E35" s="64"/>
      <c r="F35" s="64"/>
      <c r="G35" s="64"/>
      <c r="H35" s="64"/>
      <c r="I35" s="64"/>
    </row>
    <row r="36" customFormat="false" ht="21.75" hidden="false" customHeight="true" outlineLevel="0" collapsed="false">
      <c r="A36" s="63"/>
      <c r="B36" s="63"/>
      <c r="C36" s="63"/>
      <c r="D36" s="63"/>
      <c r="E36" s="63"/>
      <c r="F36" s="63"/>
      <c r="G36" s="63"/>
      <c r="H36" s="63"/>
      <c r="I36" s="63"/>
    </row>
    <row r="37" customFormat="false" ht="21.75" hidden="false" customHeight="true" outlineLevel="0" collapsed="false">
      <c r="A37" s="64"/>
      <c r="B37" s="64"/>
      <c r="C37" s="64"/>
      <c r="D37" s="64"/>
      <c r="E37" s="64"/>
      <c r="F37" s="64"/>
      <c r="G37" s="64"/>
      <c r="H37" s="64"/>
      <c r="I37" s="64"/>
    </row>
    <row r="38" customFormat="false" ht="21.75" hidden="false" customHeight="true" outlineLevel="0" collapsed="false">
      <c r="A38" s="63"/>
      <c r="B38" s="63"/>
      <c r="C38" s="63"/>
      <c r="D38" s="63"/>
      <c r="E38" s="63"/>
      <c r="F38" s="63"/>
      <c r="G38" s="63"/>
      <c r="H38" s="63"/>
      <c r="I38" s="63"/>
    </row>
    <row r="39" customFormat="false" ht="21.75" hidden="false" customHeight="true" outlineLevel="0" collapsed="false">
      <c r="A39" s="64"/>
      <c r="B39" s="64"/>
      <c r="C39" s="64"/>
      <c r="D39" s="64"/>
      <c r="E39" s="64"/>
      <c r="F39" s="64"/>
      <c r="G39" s="64"/>
      <c r="H39" s="64"/>
      <c r="I39" s="64"/>
    </row>
    <row r="40" customFormat="false" ht="21.75" hidden="false" customHeight="true" outlineLevel="0" collapsed="false">
      <c r="A40" s="63"/>
      <c r="B40" s="63"/>
      <c r="C40" s="63"/>
      <c r="D40" s="63"/>
      <c r="E40" s="63"/>
      <c r="F40" s="63"/>
      <c r="G40" s="63"/>
      <c r="H40" s="63"/>
      <c r="I40" s="63"/>
    </row>
    <row r="41" customFormat="false" ht="21.75" hidden="false" customHeight="true" outlineLevel="0" collapsed="false">
      <c r="A41" s="64"/>
      <c r="B41" s="64"/>
      <c r="C41" s="64"/>
      <c r="D41" s="64"/>
      <c r="E41" s="64"/>
      <c r="F41" s="64"/>
      <c r="G41" s="64"/>
      <c r="H41" s="64"/>
      <c r="I41" s="64"/>
    </row>
    <row r="42" customFormat="false" ht="21.75" hidden="false" customHeight="true" outlineLevel="0" collapsed="false">
      <c r="A42" s="63"/>
      <c r="B42" s="63"/>
      <c r="C42" s="63"/>
      <c r="D42" s="63"/>
      <c r="E42" s="63"/>
      <c r="F42" s="63"/>
      <c r="G42" s="63"/>
      <c r="H42" s="63"/>
      <c r="I42" s="63"/>
    </row>
    <row r="43" customFormat="false" ht="21.75" hidden="false" customHeight="true" outlineLevel="0" collapsed="false">
      <c r="A43" s="64"/>
      <c r="B43" s="64"/>
      <c r="C43" s="64"/>
      <c r="D43" s="64"/>
      <c r="E43" s="64"/>
      <c r="F43" s="64"/>
      <c r="G43" s="64"/>
      <c r="H43" s="64"/>
      <c r="I43" s="64"/>
    </row>
    <row r="44" customFormat="false" ht="21.75" hidden="false" customHeight="true" outlineLevel="0" collapsed="false">
      <c r="A44" s="63"/>
      <c r="B44" s="63"/>
      <c r="C44" s="63"/>
      <c r="D44" s="63"/>
      <c r="E44" s="63"/>
      <c r="F44" s="63"/>
      <c r="G44" s="63"/>
      <c r="H44" s="63"/>
      <c r="I44" s="63"/>
    </row>
    <row r="45" customFormat="false" ht="21.75" hidden="false" customHeight="true" outlineLevel="0" collapsed="false">
      <c r="A45" s="64"/>
      <c r="B45" s="64"/>
      <c r="C45" s="64"/>
      <c r="D45" s="64"/>
      <c r="E45" s="64"/>
      <c r="F45" s="64"/>
      <c r="G45" s="64"/>
      <c r="H45" s="64"/>
      <c r="I45" s="64"/>
    </row>
    <row r="46" customFormat="false" ht="21.75" hidden="false" customHeight="true" outlineLevel="0" collapsed="false">
      <c r="A46" s="63"/>
      <c r="B46" s="63"/>
      <c r="C46" s="63"/>
      <c r="D46" s="63"/>
      <c r="E46" s="63"/>
      <c r="F46" s="63"/>
      <c r="G46" s="63"/>
      <c r="H46" s="63"/>
      <c r="I46" s="63"/>
    </row>
    <row r="47" customFormat="false" ht="21.75" hidden="false" customHeight="true" outlineLevel="0" collapsed="false">
      <c r="A47" s="64"/>
      <c r="B47" s="64"/>
      <c r="C47" s="64"/>
      <c r="D47" s="64"/>
      <c r="E47" s="64"/>
      <c r="F47" s="64"/>
      <c r="G47" s="64"/>
      <c r="H47" s="64"/>
      <c r="I47" s="64"/>
    </row>
    <row r="48" customFormat="false" ht="21.75" hidden="false" customHeight="true" outlineLevel="0" collapsed="false">
      <c r="A48" s="63"/>
      <c r="B48" s="63"/>
      <c r="C48" s="63"/>
      <c r="D48" s="63"/>
      <c r="E48" s="63"/>
      <c r="F48" s="63"/>
      <c r="G48" s="63"/>
      <c r="H48" s="63"/>
      <c r="I48" s="63"/>
    </row>
    <row r="49" customFormat="false" ht="21.75" hidden="false" customHeight="true" outlineLevel="0" collapsed="false">
      <c r="A49" s="64"/>
      <c r="B49" s="64"/>
      <c r="C49" s="64"/>
      <c r="D49" s="64"/>
      <c r="E49" s="64"/>
      <c r="F49" s="64"/>
      <c r="G49" s="64"/>
      <c r="H49" s="64"/>
      <c r="I49" s="64"/>
    </row>
    <row r="50" customFormat="false" ht="21.75" hidden="false" customHeight="true" outlineLevel="0" collapsed="false">
      <c r="A50" s="63"/>
      <c r="B50" s="63"/>
      <c r="C50" s="63"/>
      <c r="D50" s="63"/>
      <c r="E50" s="63"/>
      <c r="F50" s="63"/>
      <c r="G50" s="63"/>
      <c r="H50" s="63"/>
      <c r="I50" s="63"/>
    </row>
  </sheetData>
  <mergeCells count="1">
    <mergeCell ref="A1:I1"/>
  </mergeCells>
  <dataValidations count="1">
    <dataValidation allowBlank="true" errorStyle="stop" operator="between" showDropDown="false" showErrorMessage="false" showInputMessage="false" sqref="I3:I200" type="list">
      <formula1>"✓,—"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A4A"/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42"/>
  </cols>
  <sheetData>
    <row r="1" customFormat="false" ht="31.5" hidden="false" customHeight="true" outlineLevel="0" collapsed="false">
      <c r="A1" s="65" t="s">
        <v>93</v>
      </c>
      <c r="B1" s="65"/>
      <c r="C1" s="65"/>
      <c r="D1" s="65"/>
      <c r="E1" s="65"/>
      <c r="F1" s="65"/>
      <c r="G1" s="65"/>
      <c r="H1" s="65"/>
      <c r="I1" s="65"/>
    </row>
    <row r="2" customFormat="false" ht="21.75" hidden="false" customHeight="true" outlineLevel="0" collapsed="false">
      <c r="A2" s="66" t="s">
        <v>81</v>
      </c>
      <c r="B2" s="66" t="s">
        <v>82</v>
      </c>
      <c r="C2" s="66" t="s">
        <v>94</v>
      </c>
      <c r="D2" s="66" t="s">
        <v>95</v>
      </c>
      <c r="E2" s="66" t="s">
        <v>96</v>
      </c>
      <c r="F2" s="66" t="s">
        <v>97</v>
      </c>
      <c r="G2" s="66" t="s">
        <v>98</v>
      </c>
      <c r="H2" s="66" t="s">
        <v>99</v>
      </c>
      <c r="I2" s="66" t="s">
        <v>100</v>
      </c>
    </row>
    <row r="3" customFormat="false" ht="21.75" hidden="false" customHeight="true" outlineLevel="0" collapsed="false">
      <c r="A3" s="50" t="s">
        <v>34</v>
      </c>
      <c r="B3" s="50" t="s">
        <v>35</v>
      </c>
      <c r="C3" s="50" t="s">
        <v>101</v>
      </c>
      <c r="D3" s="52" t="s">
        <v>102</v>
      </c>
      <c r="E3" s="50" t="s">
        <v>103</v>
      </c>
      <c r="F3" s="50" t="s">
        <v>104</v>
      </c>
      <c r="G3" s="56" t="s">
        <v>105</v>
      </c>
      <c r="H3" s="50" t="s">
        <v>106</v>
      </c>
      <c r="I3" s="67" t="s">
        <v>107</v>
      </c>
    </row>
    <row r="4" customFormat="false" ht="21.75" hidden="false" customHeight="true" outlineLevel="0" collapsed="false">
      <c r="A4" s="68" t="s">
        <v>60</v>
      </c>
      <c r="B4" s="68" t="s">
        <v>61</v>
      </c>
      <c r="C4" s="68" t="s">
        <v>108</v>
      </c>
      <c r="D4" s="69" t="s">
        <v>56</v>
      </c>
      <c r="E4" s="68" t="s">
        <v>64</v>
      </c>
      <c r="F4" s="68" t="s">
        <v>104</v>
      </c>
      <c r="G4" s="70" t="s">
        <v>6</v>
      </c>
      <c r="H4" s="68" t="s">
        <v>106</v>
      </c>
      <c r="I4" s="71" t="s">
        <v>109</v>
      </c>
    </row>
    <row r="5" customFormat="false" ht="21.75" hidden="false" customHeight="true" outlineLevel="0" collapsed="false">
      <c r="A5" s="50" t="s">
        <v>44</v>
      </c>
      <c r="B5" s="50" t="s">
        <v>45</v>
      </c>
      <c r="C5" s="50" t="s">
        <v>110</v>
      </c>
      <c r="D5" s="52" t="s">
        <v>75</v>
      </c>
      <c r="E5" s="50" t="s">
        <v>111</v>
      </c>
      <c r="F5" s="50" t="s">
        <v>112</v>
      </c>
      <c r="G5" s="56" t="s">
        <v>11</v>
      </c>
      <c r="H5" s="50" t="s">
        <v>113</v>
      </c>
      <c r="I5" s="67" t="s">
        <v>114</v>
      </c>
    </row>
    <row r="6" customFormat="false" ht="21.75" hidden="false" customHeight="true" outlineLevel="0" collapsed="false">
      <c r="A6" s="68" t="s">
        <v>72</v>
      </c>
      <c r="B6" s="68" t="s">
        <v>73</v>
      </c>
      <c r="C6" s="68" t="s">
        <v>115</v>
      </c>
      <c r="D6" s="69" t="s">
        <v>116</v>
      </c>
      <c r="E6" s="68" t="s">
        <v>76</v>
      </c>
      <c r="F6" s="68" t="s">
        <v>117</v>
      </c>
      <c r="G6" s="55" t="s">
        <v>118</v>
      </c>
      <c r="H6" s="68" t="s">
        <v>106</v>
      </c>
      <c r="I6" s="71" t="s">
        <v>119</v>
      </c>
    </row>
    <row r="7" customFormat="false" ht="21.75" hidden="false" customHeight="true" outlineLevel="0" collapsed="false">
      <c r="A7" s="50" t="s">
        <v>34</v>
      </c>
      <c r="B7" s="50" t="s">
        <v>35</v>
      </c>
      <c r="C7" s="50" t="s">
        <v>120</v>
      </c>
      <c r="D7" s="52" t="s">
        <v>121</v>
      </c>
      <c r="E7" s="50" t="s">
        <v>122</v>
      </c>
      <c r="F7" s="50" t="s">
        <v>123</v>
      </c>
      <c r="G7" s="57" t="s">
        <v>124</v>
      </c>
      <c r="H7" s="50" t="s">
        <v>106</v>
      </c>
      <c r="I7" s="67" t="s">
        <v>125</v>
      </c>
    </row>
    <row r="8" customFormat="false" ht="21.75" hidden="false" customHeight="true" outlineLevel="0" collapsed="false">
      <c r="A8" s="63"/>
      <c r="B8" s="63"/>
      <c r="C8" s="63"/>
      <c r="D8" s="63"/>
      <c r="E8" s="63"/>
      <c r="F8" s="63"/>
      <c r="G8" s="63"/>
      <c r="H8" s="63"/>
      <c r="I8" s="63"/>
    </row>
    <row r="9" customFormat="false" ht="21.75" hidden="false" customHeight="true" outlineLevel="0" collapsed="false">
      <c r="A9" s="64"/>
      <c r="B9" s="64"/>
      <c r="C9" s="64"/>
      <c r="D9" s="64"/>
      <c r="E9" s="64"/>
      <c r="F9" s="64"/>
      <c r="G9" s="64"/>
      <c r="H9" s="64"/>
      <c r="I9" s="64"/>
    </row>
    <row r="10" customFormat="false" ht="21.75" hidden="false" customHeight="true" outlineLevel="0" collapsed="false">
      <c r="A10" s="63"/>
      <c r="B10" s="63"/>
      <c r="C10" s="63"/>
      <c r="D10" s="63"/>
      <c r="E10" s="63"/>
      <c r="F10" s="63"/>
      <c r="G10" s="63"/>
      <c r="H10" s="63"/>
      <c r="I10" s="63"/>
    </row>
    <row r="11" customFormat="false" ht="21.75" hidden="false" customHeight="true" outlineLevel="0" collapsed="false">
      <c r="A11" s="64"/>
      <c r="B11" s="64"/>
      <c r="C11" s="64"/>
      <c r="D11" s="64"/>
      <c r="E11" s="64"/>
      <c r="F11" s="64"/>
      <c r="G11" s="64"/>
      <c r="H11" s="64"/>
      <c r="I11" s="64"/>
    </row>
    <row r="12" customFormat="false" ht="21.75" hidden="false" customHeight="true" outlineLevel="0" collapsed="false">
      <c r="A12" s="63"/>
      <c r="B12" s="63"/>
      <c r="C12" s="63"/>
      <c r="D12" s="63"/>
      <c r="E12" s="63"/>
      <c r="F12" s="63"/>
      <c r="G12" s="63"/>
      <c r="H12" s="63"/>
      <c r="I12" s="63"/>
    </row>
    <row r="13" customFormat="false" ht="21.75" hidden="false" customHeight="true" outlineLevel="0" collapsed="false">
      <c r="A13" s="64"/>
      <c r="B13" s="64"/>
      <c r="C13" s="64"/>
      <c r="D13" s="64"/>
      <c r="E13" s="64"/>
      <c r="F13" s="64"/>
      <c r="G13" s="64"/>
      <c r="H13" s="64"/>
      <c r="I13" s="64"/>
    </row>
    <row r="14" customFormat="false" ht="21.75" hidden="false" customHeight="true" outlineLevel="0" collapsed="false">
      <c r="A14" s="63"/>
      <c r="B14" s="63"/>
      <c r="C14" s="63"/>
      <c r="D14" s="63"/>
      <c r="E14" s="63"/>
      <c r="F14" s="63"/>
      <c r="G14" s="63"/>
      <c r="H14" s="63"/>
      <c r="I14" s="63"/>
    </row>
    <row r="15" customFormat="false" ht="21.75" hidden="false" customHeight="true" outlineLevel="0" collapsed="false">
      <c r="A15" s="64"/>
      <c r="B15" s="64"/>
      <c r="C15" s="64"/>
      <c r="D15" s="64"/>
      <c r="E15" s="64"/>
      <c r="F15" s="64"/>
      <c r="G15" s="64"/>
      <c r="H15" s="64"/>
      <c r="I15" s="64"/>
    </row>
    <row r="16" customFormat="false" ht="21.75" hidden="false" customHeight="true" outlineLevel="0" collapsed="false">
      <c r="A16" s="63"/>
      <c r="B16" s="63"/>
      <c r="C16" s="63"/>
      <c r="D16" s="63"/>
      <c r="E16" s="63"/>
      <c r="F16" s="63"/>
      <c r="G16" s="63"/>
      <c r="H16" s="63"/>
      <c r="I16" s="63"/>
    </row>
    <row r="17" customFormat="false" ht="21.75" hidden="false" customHeight="true" outlineLevel="0" collapsed="false">
      <c r="A17" s="64"/>
      <c r="B17" s="64"/>
      <c r="C17" s="64"/>
      <c r="D17" s="64"/>
      <c r="E17" s="64"/>
      <c r="F17" s="64"/>
      <c r="G17" s="64"/>
      <c r="H17" s="64"/>
      <c r="I17" s="64"/>
    </row>
    <row r="18" customFormat="false" ht="21.75" hidden="false" customHeight="true" outlineLevel="0" collapsed="false">
      <c r="A18" s="63"/>
      <c r="B18" s="63"/>
      <c r="C18" s="63"/>
      <c r="D18" s="63"/>
      <c r="E18" s="63"/>
      <c r="F18" s="63"/>
      <c r="G18" s="63"/>
      <c r="H18" s="63"/>
      <c r="I18" s="63"/>
    </row>
    <row r="19" customFormat="false" ht="21.75" hidden="false" customHeight="true" outlineLevel="0" collapsed="false">
      <c r="A19" s="64"/>
      <c r="B19" s="64"/>
      <c r="C19" s="64"/>
      <c r="D19" s="64"/>
      <c r="E19" s="64"/>
      <c r="F19" s="64"/>
      <c r="G19" s="64"/>
      <c r="H19" s="64"/>
      <c r="I19" s="64"/>
    </row>
    <row r="20" customFormat="false" ht="21.75" hidden="false" customHeight="true" outlineLevel="0" collapsed="false">
      <c r="A20" s="63"/>
      <c r="B20" s="63"/>
      <c r="C20" s="63"/>
      <c r="D20" s="63"/>
      <c r="E20" s="63"/>
      <c r="F20" s="63"/>
      <c r="G20" s="63"/>
      <c r="H20" s="63"/>
      <c r="I20" s="63"/>
    </row>
    <row r="21" customFormat="false" ht="21.75" hidden="false" customHeight="true" outlineLevel="0" collapsed="false">
      <c r="A21" s="64"/>
      <c r="B21" s="64"/>
      <c r="C21" s="64"/>
      <c r="D21" s="64"/>
      <c r="E21" s="64"/>
      <c r="F21" s="64"/>
      <c r="G21" s="64"/>
      <c r="H21" s="64"/>
      <c r="I21" s="64"/>
    </row>
    <row r="22" customFormat="false" ht="21.75" hidden="false" customHeight="true" outlineLevel="0" collapsed="false">
      <c r="A22" s="63"/>
      <c r="B22" s="63"/>
      <c r="C22" s="63"/>
      <c r="D22" s="63"/>
      <c r="E22" s="63"/>
      <c r="F22" s="63"/>
      <c r="G22" s="63"/>
      <c r="H22" s="63"/>
      <c r="I22" s="63"/>
    </row>
    <row r="23" customFormat="false" ht="21.75" hidden="false" customHeight="true" outlineLevel="0" collapsed="false">
      <c r="A23" s="64"/>
      <c r="B23" s="64"/>
      <c r="C23" s="64"/>
      <c r="D23" s="64"/>
      <c r="E23" s="64"/>
      <c r="F23" s="64"/>
      <c r="G23" s="64"/>
      <c r="H23" s="64"/>
      <c r="I23" s="64"/>
    </row>
    <row r="24" customFormat="false" ht="21.75" hidden="false" customHeight="true" outlineLevel="0" collapsed="false">
      <c r="A24" s="63"/>
      <c r="B24" s="63"/>
      <c r="C24" s="63"/>
      <c r="D24" s="63"/>
      <c r="E24" s="63"/>
      <c r="F24" s="63"/>
      <c r="G24" s="63"/>
      <c r="H24" s="63"/>
      <c r="I24" s="63"/>
    </row>
    <row r="25" customFormat="false" ht="21.75" hidden="false" customHeight="true" outlineLevel="0" collapsed="false">
      <c r="A25" s="64"/>
      <c r="B25" s="64"/>
      <c r="C25" s="64"/>
      <c r="D25" s="64"/>
      <c r="E25" s="64"/>
      <c r="F25" s="64"/>
      <c r="G25" s="64"/>
      <c r="H25" s="64"/>
      <c r="I25" s="64"/>
    </row>
    <row r="26" customFormat="false" ht="21.75" hidden="false" customHeight="true" outlineLevel="0" collapsed="false">
      <c r="A26" s="63"/>
      <c r="B26" s="63"/>
      <c r="C26" s="63"/>
      <c r="D26" s="63"/>
      <c r="E26" s="63"/>
      <c r="F26" s="63"/>
      <c r="G26" s="63"/>
      <c r="H26" s="63"/>
      <c r="I26" s="63"/>
    </row>
    <row r="27" customFormat="false" ht="21.75" hidden="false" customHeight="true" outlineLevel="0" collapsed="false">
      <c r="A27" s="64"/>
      <c r="B27" s="64"/>
      <c r="C27" s="64"/>
      <c r="D27" s="64"/>
      <c r="E27" s="64"/>
      <c r="F27" s="64"/>
      <c r="G27" s="64"/>
      <c r="H27" s="64"/>
      <c r="I27" s="64"/>
    </row>
    <row r="28" customFormat="false" ht="21.75" hidden="false" customHeight="true" outlineLevel="0" collapsed="false">
      <c r="A28" s="63"/>
      <c r="B28" s="63"/>
      <c r="C28" s="63"/>
      <c r="D28" s="63"/>
      <c r="E28" s="63"/>
      <c r="F28" s="63"/>
      <c r="G28" s="63"/>
      <c r="H28" s="63"/>
      <c r="I28" s="63"/>
    </row>
    <row r="29" customFormat="false" ht="21.75" hidden="false" customHeight="true" outlineLevel="0" collapsed="false">
      <c r="A29" s="64"/>
      <c r="B29" s="64"/>
      <c r="C29" s="64"/>
      <c r="D29" s="64"/>
      <c r="E29" s="64"/>
      <c r="F29" s="64"/>
      <c r="G29" s="64"/>
      <c r="H29" s="64"/>
      <c r="I29" s="64"/>
    </row>
    <row r="30" customFormat="false" ht="21.75" hidden="false" customHeight="true" outlineLevel="0" collapsed="false">
      <c r="A30" s="63"/>
      <c r="B30" s="63"/>
      <c r="C30" s="63"/>
      <c r="D30" s="63"/>
      <c r="E30" s="63"/>
      <c r="F30" s="63"/>
      <c r="G30" s="63"/>
      <c r="H30" s="63"/>
      <c r="I30" s="63"/>
    </row>
    <row r="31" customFormat="false" ht="21.75" hidden="false" customHeight="true" outlineLevel="0" collapsed="false">
      <c r="A31" s="64"/>
      <c r="B31" s="64"/>
      <c r="C31" s="64"/>
      <c r="D31" s="64"/>
      <c r="E31" s="64"/>
      <c r="F31" s="64"/>
      <c r="G31" s="64"/>
      <c r="H31" s="64"/>
      <c r="I31" s="64"/>
    </row>
    <row r="32" customFormat="false" ht="21.75" hidden="false" customHeight="true" outlineLevel="0" collapsed="false">
      <c r="A32" s="63"/>
      <c r="B32" s="63"/>
      <c r="C32" s="63"/>
      <c r="D32" s="63"/>
      <c r="E32" s="63"/>
      <c r="F32" s="63"/>
      <c r="G32" s="63"/>
      <c r="H32" s="63"/>
      <c r="I32" s="63"/>
    </row>
    <row r="33" customFormat="false" ht="21.75" hidden="false" customHeight="true" outlineLevel="0" collapsed="false">
      <c r="A33" s="64"/>
      <c r="B33" s="64"/>
      <c r="C33" s="64"/>
      <c r="D33" s="64"/>
      <c r="E33" s="64"/>
      <c r="F33" s="64"/>
      <c r="G33" s="64"/>
      <c r="H33" s="64"/>
      <c r="I33" s="64"/>
    </row>
    <row r="34" customFormat="false" ht="21.75" hidden="false" customHeight="true" outlineLevel="0" collapsed="false">
      <c r="A34" s="63"/>
      <c r="B34" s="63"/>
      <c r="C34" s="63"/>
      <c r="D34" s="63"/>
      <c r="E34" s="63"/>
      <c r="F34" s="63"/>
      <c r="G34" s="63"/>
      <c r="H34" s="63"/>
      <c r="I34" s="63"/>
    </row>
    <row r="35" customFormat="false" ht="21.75" hidden="false" customHeight="true" outlineLevel="0" collapsed="false">
      <c r="A35" s="64"/>
      <c r="B35" s="64"/>
      <c r="C35" s="64"/>
      <c r="D35" s="64"/>
      <c r="E35" s="64"/>
      <c r="F35" s="64"/>
      <c r="G35" s="64"/>
      <c r="H35" s="64"/>
      <c r="I35" s="64"/>
    </row>
    <row r="36" customFormat="false" ht="21.75" hidden="false" customHeight="true" outlineLevel="0" collapsed="false">
      <c r="A36" s="63"/>
      <c r="B36" s="63"/>
      <c r="C36" s="63"/>
      <c r="D36" s="63"/>
      <c r="E36" s="63"/>
      <c r="F36" s="63"/>
      <c r="G36" s="63"/>
      <c r="H36" s="63"/>
      <c r="I36" s="63"/>
    </row>
    <row r="37" customFormat="false" ht="21.75" hidden="false" customHeight="true" outlineLevel="0" collapsed="false">
      <c r="A37" s="64"/>
      <c r="B37" s="64"/>
      <c r="C37" s="64"/>
      <c r="D37" s="64"/>
      <c r="E37" s="64"/>
      <c r="F37" s="64"/>
      <c r="G37" s="64"/>
      <c r="H37" s="64"/>
      <c r="I37" s="64"/>
    </row>
    <row r="38" customFormat="false" ht="21.75" hidden="false" customHeight="true" outlineLevel="0" collapsed="false">
      <c r="A38" s="63"/>
      <c r="B38" s="63"/>
      <c r="C38" s="63"/>
      <c r="D38" s="63"/>
      <c r="E38" s="63"/>
      <c r="F38" s="63"/>
      <c r="G38" s="63"/>
      <c r="H38" s="63"/>
      <c r="I38" s="63"/>
    </row>
    <row r="39" customFormat="false" ht="21.75" hidden="false" customHeight="true" outlineLevel="0" collapsed="false">
      <c r="A39" s="64"/>
      <c r="B39" s="64"/>
      <c r="C39" s="64"/>
      <c r="D39" s="64"/>
      <c r="E39" s="64"/>
      <c r="F39" s="64"/>
      <c r="G39" s="64"/>
      <c r="H39" s="64"/>
      <c r="I39" s="64"/>
    </row>
    <row r="40" customFormat="false" ht="21.75" hidden="false" customHeight="true" outlineLevel="0" collapsed="false">
      <c r="A40" s="63"/>
      <c r="B40" s="63"/>
      <c r="C40" s="63"/>
      <c r="D40" s="63"/>
      <c r="E40" s="63"/>
      <c r="F40" s="63"/>
      <c r="G40" s="63"/>
      <c r="H40" s="63"/>
      <c r="I40" s="63"/>
    </row>
    <row r="41" customFormat="false" ht="21.75" hidden="false" customHeight="true" outlineLevel="0" collapsed="false">
      <c r="A41" s="64"/>
      <c r="B41" s="64"/>
      <c r="C41" s="64"/>
      <c r="D41" s="64"/>
      <c r="E41" s="64"/>
      <c r="F41" s="64"/>
      <c r="G41" s="64"/>
      <c r="H41" s="64"/>
      <c r="I41" s="64"/>
    </row>
    <row r="42" customFormat="false" ht="21.75" hidden="false" customHeight="true" outlineLevel="0" collapsed="false">
      <c r="A42" s="63"/>
      <c r="B42" s="63"/>
      <c r="C42" s="63"/>
      <c r="D42" s="63"/>
      <c r="E42" s="63"/>
      <c r="F42" s="63"/>
      <c r="G42" s="63"/>
      <c r="H42" s="63"/>
      <c r="I42" s="63"/>
    </row>
    <row r="43" customFormat="false" ht="21.75" hidden="false" customHeight="true" outlineLevel="0" collapsed="false">
      <c r="A43" s="64"/>
      <c r="B43" s="64"/>
      <c r="C43" s="64"/>
      <c r="D43" s="64"/>
      <c r="E43" s="64"/>
      <c r="F43" s="64"/>
      <c r="G43" s="64"/>
      <c r="H43" s="64"/>
      <c r="I43" s="64"/>
    </row>
    <row r="44" customFormat="false" ht="21.75" hidden="false" customHeight="true" outlineLevel="0" collapsed="false">
      <c r="A44" s="63"/>
      <c r="B44" s="63"/>
      <c r="C44" s="63"/>
      <c r="D44" s="63"/>
      <c r="E44" s="63"/>
      <c r="F44" s="63"/>
      <c r="G44" s="63"/>
      <c r="H44" s="63"/>
      <c r="I44" s="63"/>
    </row>
    <row r="45" customFormat="false" ht="21.75" hidden="false" customHeight="true" outlineLevel="0" collapsed="false">
      <c r="A45" s="64"/>
      <c r="B45" s="64"/>
      <c r="C45" s="64"/>
      <c r="D45" s="64"/>
      <c r="E45" s="64"/>
      <c r="F45" s="64"/>
      <c r="G45" s="64"/>
      <c r="H45" s="64"/>
      <c r="I45" s="64"/>
    </row>
    <row r="46" customFormat="false" ht="21.75" hidden="false" customHeight="true" outlineLevel="0" collapsed="false">
      <c r="A46" s="63"/>
      <c r="B46" s="63"/>
      <c r="C46" s="63"/>
      <c r="D46" s="63"/>
      <c r="E46" s="63"/>
      <c r="F46" s="63"/>
      <c r="G46" s="63"/>
      <c r="H46" s="63"/>
      <c r="I46" s="63"/>
    </row>
    <row r="47" customFormat="false" ht="21.75" hidden="false" customHeight="true" outlineLevel="0" collapsed="false">
      <c r="A47" s="64"/>
      <c r="B47" s="64"/>
      <c r="C47" s="64"/>
      <c r="D47" s="64"/>
      <c r="E47" s="64"/>
      <c r="F47" s="64"/>
      <c r="G47" s="64"/>
      <c r="H47" s="64"/>
      <c r="I47" s="64"/>
    </row>
    <row r="48" customFormat="false" ht="21.75" hidden="false" customHeight="true" outlineLevel="0" collapsed="false">
      <c r="A48" s="63"/>
      <c r="B48" s="63"/>
      <c r="C48" s="63"/>
      <c r="D48" s="63"/>
      <c r="E48" s="63"/>
      <c r="F48" s="63"/>
      <c r="G48" s="63"/>
      <c r="H48" s="63"/>
      <c r="I48" s="63"/>
    </row>
    <row r="49" customFormat="false" ht="21.75" hidden="false" customHeight="true" outlineLevel="0" collapsed="false">
      <c r="A49" s="64"/>
      <c r="B49" s="64"/>
      <c r="C49" s="64"/>
      <c r="D49" s="64"/>
      <c r="E49" s="64"/>
      <c r="F49" s="64"/>
      <c r="G49" s="64"/>
      <c r="H49" s="64"/>
      <c r="I49" s="64"/>
    </row>
    <row r="50" customFormat="false" ht="21.75" hidden="false" customHeight="true" outlineLevel="0" collapsed="false">
      <c r="A50" s="63"/>
      <c r="B50" s="63"/>
      <c r="C50" s="63"/>
      <c r="D50" s="63"/>
      <c r="E50" s="63"/>
      <c r="F50" s="63"/>
      <c r="G50" s="63"/>
      <c r="H50" s="63"/>
      <c r="I50" s="63"/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G3:G200" type="list">
      <formula1>"Scheduled,Passed,Rejected,Offer,Pending,Withdrawn"</formula1>
      <formula2>0</formula2>
    </dataValidation>
    <dataValidation allowBlank="true" errorStyle="stop" operator="between" showDropDown="false" showErrorMessage="false" showInputMessage="false" sqref="F3:F200" type="list">
      <formula1>"Video call,Phone,In-person,Panel,Take-home,Assessment"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22A"/>
    <pageSetUpPr fitToPage="false"/>
  </sheetPr>
  <dimension ref="B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4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59" min="7" style="0" width="3"/>
  </cols>
  <sheetData>
    <row r="1" customFormat="false" ht="31.5" hidden="false" customHeight="true" outlineLevel="0" collapsed="false">
      <c r="B1" s="34" t="s">
        <v>126</v>
      </c>
      <c r="C1" s="34"/>
      <c r="D1" s="34"/>
      <c r="E1" s="34"/>
      <c r="F1" s="34"/>
    </row>
    <row r="3" customFormat="false" ht="27.75" hidden="false" customHeight="true" outlineLevel="0" collapsed="false">
      <c r="B3" s="72" t="s">
        <v>127</v>
      </c>
      <c r="C3" s="72"/>
      <c r="E3" s="73" t="s">
        <v>128</v>
      </c>
      <c r="F3" s="73"/>
    </row>
    <row r="4" customFormat="false" ht="19.5" hidden="false" customHeight="true" outlineLevel="0" collapsed="false">
      <c r="B4" s="74" t="s">
        <v>129</v>
      </c>
      <c r="C4" s="75" t="s">
        <v>130</v>
      </c>
      <c r="E4" s="76" t="s">
        <v>131</v>
      </c>
      <c r="F4" s="75" t="s">
        <v>132</v>
      </c>
    </row>
    <row r="5" customFormat="false" ht="19.5" hidden="false" customHeight="true" outlineLevel="0" collapsed="false">
      <c r="B5" s="74" t="s">
        <v>133</v>
      </c>
      <c r="C5" s="75" t="s">
        <v>134</v>
      </c>
      <c r="E5" s="76" t="s">
        <v>135</v>
      </c>
      <c r="F5" s="75" t="s">
        <v>136</v>
      </c>
    </row>
    <row r="6" customFormat="false" ht="19.5" hidden="false" customHeight="true" outlineLevel="0" collapsed="false">
      <c r="B6" s="74" t="s">
        <v>137</v>
      </c>
      <c r="C6" s="75" t="s">
        <v>138</v>
      </c>
      <c r="E6" s="76" t="s">
        <v>139</v>
      </c>
      <c r="F6" s="75" t="s">
        <v>140</v>
      </c>
    </row>
    <row r="7" customFormat="false" ht="19.5" hidden="false" customHeight="true" outlineLevel="0" collapsed="false">
      <c r="B7" s="74" t="s">
        <v>141</v>
      </c>
      <c r="C7" s="75" t="s">
        <v>142</v>
      </c>
      <c r="E7" s="76" t="s">
        <v>143</v>
      </c>
      <c r="F7" s="75" t="s">
        <v>144</v>
      </c>
    </row>
    <row r="8" customFormat="false" ht="19.5" hidden="false" customHeight="true" outlineLevel="0" collapsed="false">
      <c r="B8" s="74"/>
      <c r="C8" s="75"/>
      <c r="E8" s="76"/>
      <c r="F8" s="75"/>
    </row>
    <row r="9" customFormat="false" ht="19.5" hidden="false" customHeight="true" outlineLevel="0" collapsed="false">
      <c r="B9" s="74"/>
      <c r="C9" s="75"/>
      <c r="E9" s="76"/>
      <c r="F9" s="75"/>
    </row>
    <row r="12" customFormat="false" ht="27.75" hidden="false" customHeight="true" outlineLevel="0" collapsed="false">
      <c r="B12" s="77" t="s">
        <v>145</v>
      </c>
      <c r="C12" s="77"/>
      <c r="E12" s="78" t="s">
        <v>146</v>
      </c>
      <c r="F12" s="78"/>
    </row>
    <row r="13" customFormat="false" ht="19.5" hidden="false" customHeight="true" outlineLevel="0" collapsed="false">
      <c r="B13" s="79" t="s">
        <v>147</v>
      </c>
      <c r="C13" s="75" t="s">
        <v>148</v>
      </c>
      <c r="E13" s="80" t="s">
        <v>149</v>
      </c>
      <c r="F13" s="75" t="s">
        <v>150</v>
      </c>
    </row>
    <row r="14" customFormat="false" ht="19.5" hidden="false" customHeight="true" outlineLevel="0" collapsed="false">
      <c r="B14" s="79" t="s">
        <v>151</v>
      </c>
      <c r="C14" s="75" t="s">
        <v>152</v>
      </c>
      <c r="E14" s="80" t="s">
        <v>153</v>
      </c>
      <c r="F14" s="75" t="s">
        <v>154</v>
      </c>
    </row>
    <row r="15" customFormat="false" ht="19.5" hidden="false" customHeight="true" outlineLevel="0" collapsed="false">
      <c r="B15" s="79" t="s">
        <v>155</v>
      </c>
      <c r="C15" s="75" t="s">
        <v>156</v>
      </c>
      <c r="E15" s="80" t="s">
        <v>157</v>
      </c>
      <c r="F15" s="75" t="s">
        <v>158</v>
      </c>
    </row>
    <row r="16" customFormat="false" ht="19.5" hidden="false" customHeight="true" outlineLevel="0" collapsed="false">
      <c r="B16" s="79" t="s">
        <v>159</v>
      </c>
      <c r="C16" s="75" t="s">
        <v>160</v>
      </c>
      <c r="E16" s="80" t="s">
        <v>161</v>
      </c>
      <c r="F16" s="75" t="s">
        <v>162</v>
      </c>
    </row>
    <row r="17" customFormat="false" ht="19.5" hidden="false" customHeight="true" outlineLevel="0" collapsed="false">
      <c r="B17" s="79"/>
      <c r="C17" s="75"/>
      <c r="E17" s="80"/>
      <c r="F17" s="75"/>
    </row>
    <row r="18" customFormat="false" ht="19.5" hidden="false" customHeight="true" outlineLevel="0" collapsed="false">
      <c r="B18" s="79"/>
      <c r="C18" s="75"/>
      <c r="E18" s="80"/>
      <c r="F18" s="75"/>
    </row>
    <row r="21" customFormat="false" ht="13.5" hidden="false" customHeight="true" outlineLevel="0" collapsed="false">
      <c r="B21" s="3" t="s">
        <v>163</v>
      </c>
      <c r="C21" s="3"/>
      <c r="D21" s="3"/>
      <c r="E21" s="3"/>
      <c r="F21" s="3"/>
    </row>
    <row r="22" customFormat="false" ht="21.75" hidden="false" customHeight="true" outlineLevel="0" collapsed="false">
      <c r="B22" s="81" t="s">
        <v>164</v>
      </c>
      <c r="C22" s="82"/>
      <c r="D22" s="82"/>
      <c r="E22" s="82"/>
      <c r="F22" s="82"/>
    </row>
    <row r="23" customFormat="false" ht="21.75" hidden="false" customHeight="true" outlineLevel="0" collapsed="false">
      <c r="B23" s="81" t="s">
        <v>165</v>
      </c>
      <c r="C23" s="82"/>
      <c r="D23" s="82"/>
      <c r="E23" s="82"/>
      <c r="F23" s="82"/>
    </row>
    <row r="24" customFormat="false" ht="21.75" hidden="false" customHeight="true" outlineLevel="0" collapsed="false">
      <c r="B24" s="81" t="s">
        <v>166</v>
      </c>
      <c r="C24" s="82"/>
      <c r="D24" s="82"/>
      <c r="E24" s="82"/>
      <c r="F24" s="82"/>
    </row>
    <row r="25" customFormat="false" ht="21.75" hidden="false" customHeight="true" outlineLevel="0" collapsed="false">
      <c r="B25" s="81" t="s">
        <v>167</v>
      </c>
      <c r="C25" s="82"/>
      <c r="D25" s="82"/>
      <c r="E25" s="82"/>
      <c r="F25" s="82"/>
    </row>
    <row r="26" customFormat="false" ht="21.75" hidden="false" customHeight="true" outlineLevel="0" collapsed="false">
      <c r="B26" s="81" t="s">
        <v>168</v>
      </c>
      <c r="C26" s="82"/>
      <c r="D26" s="82"/>
      <c r="E26" s="82"/>
      <c r="F26" s="82"/>
    </row>
  </sheetData>
  <mergeCells count="11">
    <mergeCell ref="B1:F1"/>
    <mergeCell ref="B3:C3"/>
    <mergeCell ref="E3:F3"/>
    <mergeCell ref="B12:C12"/>
    <mergeCell ref="E12:F12"/>
    <mergeCell ref="B21:F21"/>
    <mergeCell ref="C22:F22"/>
    <mergeCell ref="C23:F23"/>
    <mergeCell ref="C24:F24"/>
    <mergeCell ref="C25:F25"/>
    <mergeCell ref="C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E9E0"/>
    <pageSetUpPr fitToPage="false"/>
  </sheetPr>
  <dimension ref="B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2"/>
  </cols>
  <sheetData>
    <row r="1" customFormat="false" ht="36" hidden="false" customHeight="true" outlineLevel="0" collapsed="false">
      <c r="B1" s="83" t="s">
        <v>169</v>
      </c>
      <c r="C1" s="83"/>
    </row>
    <row r="2" customFormat="false" ht="27.75" hidden="false" customHeight="true" outlineLevel="0" collapsed="false">
      <c r="B2" s="84" t="s">
        <v>170</v>
      </c>
      <c r="C2" s="84"/>
    </row>
    <row r="3" customFormat="false" ht="21.75" hidden="false" customHeight="true" outlineLevel="0" collapsed="false">
      <c r="B3" s="85" t="s">
        <v>171</v>
      </c>
      <c r="C3" s="86" t="s">
        <v>172</v>
      </c>
    </row>
    <row r="4" customFormat="false" ht="21.75" hidden="false" customHeight="true" outlineLevel="0" collapsed="false">
      <c r="B4" s="85" t="s">
        <v>173</v>
      </c>
      <c r="C4" s="86" t="s">
        <v>174</v>
      </c>
    </row>
    <row r="5" customFormat="false" ht="21.75" hidden="false" customHeight="true" outlineLevel="0" collapsed="false">
      <c r="B5" s="85" t="s">
        <v>175</v>
      </c>
      <c r="C5" s="86" t="s">
        <v>176</v>
      </c>
    </row>
    <row r="6" customFormat="false" ht="27.75" hidden="false" customHeight="true" outlineLevel="0" collapsed="false">
      <c r="B6" s="84" t="s">
        <v>177</v>
      </c>
      <c r="C6" s="84"/>
    </row>
    <row r="7" customFormat="false" ht="21.75" hidden="false" customHeight="true" outlineLevel="0" collapsed="false">
      <c r="B7" s="85" t="s">
        <v>10</v>
      </c>
      <c r="C7" s="86" t="s">
        <v>178</v>
      </c>
    </row>
    <row r="8" customFormat="false" ht="21.75" hidden="false" customHeight="true" outlineLevel="0" collapsed="false">
      <c r="B8" s="85" t="s">
        <v>4</v>
      </c>
      <c r="C8" s="86" t="s">
        <v>179</v>
      </c>
    </row>
    <row r="9" customFormat="false" ht="21.75" hidden="false" customHeight="true" outlineLevel="0" collapsed="false">
      <c r="B9" s="85" t="s">
        <v>11</v>
      </c>
      <c r="C9" s="86" t="s">
        <v>180</v>
      </c>
    </row>
    <row r="10" customFormat="false" ht="21.75" hidden="false" customHeight="true" outlineLevel="0" collapsed="false">
      <c r="B10" s="85" t="s">
        <v>6</v>
      </c>
      <c r="C10" s="86" t="s">
        <v>181</v>
      </c>
    </row>
    <row r="11" customFormat="false" ht="21.75" hidden="false" customHeight="true" outlineLevel="0" collapsed="false">
      <c r="B11" s="85" t="s">
        <v>7</v>
      </c>
      <c r="C11" s="86" t="s">
        <v>182</v>
      </c>
    </row>
    <row r="12" customFormat="false" ht="27.75" hidden="false" customHeight="true" outlineLevel="0" collapsed="false">
      <c r="B12" s="84" t="s">
        <v>183</v>
      </c>
      <c r="C12" s="84"/>
    </row>
    <row r="13" customFormat="false" ht="21.75" hidden="false" customHeight="true" outlineLevel="0" collapsed="false">
      <c r="B13" s="85" t="s">
        <v>184</v>
      </c>
      <c r="C13" s="86" t="s">
        <v>185</v>
      </c>
    </row>
    <row r="14" customFormat="false" ht="21.75" hidden="false" customHeight="true" outlineLevel="0" collapsed="false">
      <c r="B14" s="85" t="s">
        <v>186</v>
      </c>
      <c r="C14" s="86" t="s">
        <v>187</v>
      </c>
    </row>
    <row r="15" customFormat="false" ht="21.75" hidden="false" customHeight="true" outlineLevel="0" collapsed="false">
      <c r="B15" s="85" t="s">
        <v>188</v>
      </c>
      <c r="C15" s="86" t="s">
        <v>189</v>
      </c>
    </row>
    <row r="16" customFormat="false" ht="27.75" hidden="false" customHeight="true" outlineLevel="0" collapsed="false">
      <c r="B16" s="84" t="s">
        <v>190</v>
      </c>
      <c r="C16" s="84"/>
    </row>
    <row r="17" customFormat="false" ht="21.75" hidden="false" customHeight="true" outlineLevel="0" collapsed="false">
      <c r="B17" s="85" t="s">
        <v>191</v>
      </c>
      <c r="C17" s="86" t="s">
        <v>192</v>
      </c>
    </row>
    <row r="18" customFormat="false" ht="21.75" hidden="false" customHeight="true" outlineLevel="0" collapsed="false">
      <c r="B18" s="85" t="s">
        <v>193</v>
      </c>
      <c r="C18" s="86" t="s">
        <v>194</v>
      </c>
    </row>
    <row r="19" customFormat="false" ht="21.75" hidden="false" customHeight="true" outlineLevel="0" collapsed="false">
      <c r="B19" s="85" t="s">
        <v>195</v>
      </c>
      <c r="C19" s="86" t="s">
        <v>196</v>
      </c>
    </row>
  </sheetData>
  <mergeCells count="5">
    <mergeCell ref="B1:C1"/>
    <mergeCell ref="B2:C2"/>
    <mergeCell ref="B6:C6"/>
    <mergeCell ref="B12:C12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2026-05-04T06:32:10Z</dcterms:created>
  <dc:creator>openpyxl</dc:creator>
  <dc:description/>
  <dc:language>en-US</dc:language>
  <cp:lastModifiedBy/>
  <dcterms:modified xsi:type="dcterms:W3CDTF">2026-05-04T06:32:10Z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